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8180" activeTab="4"/>
  </bookViews>
  <sheets>
    <sheet name="correlation" sheetId="1" r:id="rId1"/>
    <sheet name="total bill vs tip" sheetId="9" r:id="rId2"/>
    <sheet name="prediction" sheetId="6" r:id="rId3"/>
    <sheet name="raw data" sheetId="3" r:id="rId4"/>
    <sheet name="output" sheetId="7" r:id="rId5"/>
    <sheet name="encoding" sheetId="4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8" i="6" l="1"/>
  <c r="A246" i="6"/>
  <c r="N2" i="6"/>
  <c r="M2" i="6"/>
  <c r="L2" i="6"/>
  <c r="J244" i="6" l="1"/>
  <c r="J243" i="6"/>
  <c r="L243" i="6" s="1"/>
  <c r="M243" i="6" s="1"/>
  <c r="N243" i="6" s="1"/>
  <c r="J242" i="6"/>
  <c r="J241" i="6"/>
  <c r="J240" i="6"/>
  <c r="J239" i="6"/>
  <c r="J238" i="6"/>
  <c r="J237" i="6"/>
  <c r="L237" i="6" s="1"/>
  <c r="M237" i="6" s="1"/>
  <c r="N237" i="6" s="1"/>
  <c r="J236" i="6"/>
  <c r="L236" i="6" s="1"/>
  <c r="M236" i="6" s="1"/>
  <c r="N236" i="6" s="1"/>
  <c r="J235" i="6"/>
  <c r="J234" i="6"/>
  <c r="J233" i="6"/>
  <c r="J232" i="6"/>
  <c r="J231" i="6"/>
  <c r="J230" i="6"/>
  <c r="J229" i="6"/>
  <c r="L229" i="6" s="1"/>
  <c r="M229" i="6" s="1"/>
  <c r="N229" i="6" s="1"/>
  <c r="J228" i="6"/>
  <c r="L228" i="6" s="1"/>
  <c r="M228" i="6" s="1"/>
  <c r="N228" i="6" s="1"/>
  <c r="J227" i="6"/>
  <c r="J226" i="6"/>
  <c r="L226" i="6" s="1"/>
  <c r="M226" i="6" s="1"/>
  <c r="N226" i="6" s="1"/>
  <c r="J225" i="6"/>
  <c r="J224" i="6"/>
  <c r="J223" i="6"/>
  <c r="J222" i="6"/>
  <c r="J221" i="6"/>
  <c r="L221" i="6" s="1"/>
  <c r="M221" i="6" s="1"/>
  <c r="N221" i="6" s="1"/>
  <c r="J220" i="6"/>
  <c r="L220" i="6" s="1"/>
  <c r="M220" i="6" s="1"/>
  <c r="N220" i="6" s="1"/>
  <c r="J219" i="6"/>
  <c r="J218" i="6"/>
  <c r="J217" i="6"/>
  <c r="J216" i="6"/>
  <c r="J215" i="6"/>
  <c r="J214" i="6"/>
  <c r="J213" i="6"/>
  <c r="J212" i="6"/>
  <c r="J211" i="6"/>
  <c r="L211" i="6" s="1"/>
  <c r="M211" i="6" s="1"/>
  <c r="N211" i="6" s="1"/>
  <c r="J210" i="6"/>
  <c r="J209" i="6"/>
  <c r="J208" i="6"/>
  <c r="J207" i="6"/>
  <c r="J206" i="6"/>
  <c r="J205" i="6"/>
  <c r="L205" i="6" s="1"/>
  <c r="M205" i="6" s="1"/>
  <c r="N205" i="6" s="1"/>
  <c r="J204" i="6"/>
  <c r="L204" i="6" s="1"/>
  <c r="M204" i="6" s="1"/>
  <c r="N204" i="6" s="1"/>
  <c r="J203" i="6"/>
  <c r="J202" i="6"/>
  <c r="J201" i="6"/>
  <c r="J200" i="6"/>
  <c r="J199" i="6"/>
  <c r="J198" i="6"/>
  <c r="J197" i="6"/>
  <c r="L197" i="6" s="1"/>
  <c r="M197" i="6" s="1"/>
  <c r="N197" i="6" s="1"/>
  <c r="J196" i="6"/>
  <c r="L196" i="6" s="1"/>
  <c r="M196" i="6" s="1"/>
  <c r="N196" i="6" s="1"/>
  <c r="J195" i="6"/>
  <c r="J194" i="6"/>
  <c r="L194" i="6" s="1"/>
  <c r="M194" i="6" s="1"/>
  <c r="N194" i="6" s="1"/>
  <c r="J193" i="6"/>
  <c r="J192" i="6"/>
  <c r="J191" i="6"/>
  <c r="J190" i="6"/>
  <c r="J189" i="6"/>
  <c r="J188" i="6"/>
  <c r="L188" i="6" s="1"/>
  <c r="M188" i="6" s="1"/>
  <c r="N188" i="6" s="1"/>
  <c r="J187" i="6"/>
  <c r="J186" i="6"/>
  <c r="J185" i="6"/>
  <c r="J184" i="6"/>
  <c r="J183" i="6"/>
  <c r="J182" i="6"/>
  <c r="J181" i="6"/>
  <c r="L181" i="6" s="1"/>
  <c r="M181" i="6" s="1"/>
  <c r="N181" i="6" s="1"/>
  <c r="J180" i="6"/>
  <c r="J179" i="6"/>
  <c r="L179" i="6" s="1"/>
  <c r="M179" i="6" s="1"/>
  <c r="N179" i="6" s="1"/>
  <c r="J178" i="6"/>
  <c r="J177" i="6"/>
  <c r="J176" i="6"/>
  <c r="J175" i="6"/>
  <c r="J174" i="6"/>
  <c r="J173" i="6"/>
  <c r="L173" i="6" s="1"/>
  <c r="M173" i="6" s="1"/>
  <c r="N173" i="6" s="1"/>
  <c r="J172" i="6"/>
  <c r="L172" i="6" s="1"/>
  <c r="M172" i="6" s="1"/>
  <c r="N172" i="6" s="1"/>
  <c r="J171" i="6"/>
  <c r="J170" i="6"/>
  <c r="J169" i="6"/>
  <c r="J168" i="6"/>
  <c r="J167" i="6"/>
  <c r="J166" i="6"/>
  <c r="J165" i="6"/>
  <c r="L165" i="6" s="1"/>
  <c r="M165" i="6" s="1"/>
  <c r="N165" i="6" s="1"/>
  <c r="J164" i="6"/>
  <c r="L164" i="6" s="1"/>
  <c r="M164" i="6" s="1"/>
  <c r="N164" i="6" s="1"/>
  <c r="J163" i="6"/>
  <c r="J162" i="6"/>
  <c r="L162" i="6" s="1"/>
  <c r="M162" i="6" s="1"/>
  <c r="N162" i="6" s="1"/>
  <c r="J161" i="6"/>
  <c r="J160" i="6"/>
  <c r="J159" i="6"/>
  <c r="J158" i="6"/>
  <c r="J157" i="6"/>
  <c r="L157" i="6" s="1"/>
  <c r="M157" i="6" s="1"/>
  <c r="N157" i="6" s="1"/>
  <c r="J156" i="6"/>
  <c r="L156" i="6" s="1"/>
  <c r="M156" i="6" s="1"/>
  <c r="N156" i="6" s="1"/>
  <c r="J155" i="6"/>
  <c r="J154" i="6"/>
  <c r="J153" i="6"/>
  <c r="J152" i="6"/>
  <c r="J151" i="6"/>
  <c r="J150" i="6"/>
  <c r="J149" i="6"/>
  <c r="L149" i="6" s="1"/>
  <c r="M149" i="6" s="1"/>
  <c r="N149" i="6" s="1"/>
  <c r="J148" i="6"/>
  <c r="J147" i="6"/>
  <c r="L147" i="6" s="1"/>
  <c r="M147" i="6" s="1"/>
  <c r="N147" i="6" s="1"/>
  <c r="J146" i="6"/>
  <c r="J145" i="6"/>
  <c r="J144" i="6"/>
  <c r="J143" i="6"/>
  <c r="J142" i="6"/>
  <c r="J141" i="6"/>
  <c r="L141" i="6" s="1"/>
  <c r="M141" i="6" s="1"/>
  <c r="N141" i="6" s="1"/>
  <c r="J140" i="6"/>
  <c r="L140" i="6" s="1"/>
  <c r="M140" i="6" s="1"/>
  <c r="N140" i="6" s="1"/>
  <c r="J139" i="6"/>
  <c r="J138" i="6"/>
  <c r="J137" i="6"/>
  <c r="J136" i="6"/>
  <c r="J135" i="6"/>
  <c r="J134" i="6"/>
  <c r="J133" i="6"/>
  <c r="L133" i="6" s="1"/>
  <c r="M133" i="6" s="1"/>
  <c r="N133" i="6" s="1"/>
  <c r="J132" i="6"/>
  <c r="L132" i="6" s="1"/>
  <c r="M132" i="6" s="1"/>
  <c r="N132" i="6" s="1"/>
  <c r="J131" i="6"/>
  <c r="J130" i="6"/>
  <c r="L130" i="6" s="1"/>
  <c r="M130" i="6" s="1"/>
  <c r="N130" i="6" s="1"/>
  <c r="J129" i="6"/>
  <c r="J128" i="6"/>
  <c r="J127" i="6"/>
  <c r="J126" i="6"/>
  <c r="J125" i="6"/>
  <c r="L125" i="6" s="1"/>
  <c r="M125" i="6" s="1"/>
  <c r="N125" i="6" s="1"/>
  <c r="J124" i="6"/>
  <c r="L124" i="6" s="1"/>
  <c r="M124" i="6" s="1"/>
  <c r="N124" i="6" s="1"/>
  <c r="J123" i="6"/>
  <c r="J122" i="6"/>
  <c r="J121" i="6"/>
  <c r="J120" i="6"/>
  <c r="J119" i="6"/>
  <c r="L119" i="6" s="1"/>
  <c r="M119" i="6" s="1"/>
  <c r="N119" i="6" s="1"/>
  <c r="J118" i="6"/>
  <c r="J117" i="6"/>
  <c r="J116" i="6"/>
  <c r="J115" i="6"/>
  <c r="L115" i="6" s="1"/>
  <c r="M115" i="6" s="1"/>
  <c r="N115" i="6" s="1"/>
  <c r="J114" i="6"/>
  <c r="J113" i="6"/>
  <c r="J112" i="6"/>
  <c r="J111" i="6"/>
  <c r="J110" i="6"/>
  <c r="J109" i="6"/>
  <c r="L109" i="6" s="1"/>
  <c r="M109" i="6" s="1"/>
  <c r="N109" i="6" s="1"/>
  <c r="J108" i="6"/>
  <c r="L108" i="6" s="1"/>
  <c r="M108" i="6" s="1"/>
  <c r="N108" i="6" s="1"/>
  <c r="J107" i="6"/>
  <c r="J106" i="6"/>
  <c r="J105" i="6"/>
  <c r="J104" i="6"/>
  <c r="J103" i="6"/>
  <c r="J102" i="6"/>
  <c r="J101" i="6"/>
  <c r="L101" i="6" s="1"/>
  <c r="M101" i="6" s="1"/>
  <c r="N101" i="6" s="1"/>
  <c r="J100" i="6"/>
  <c r="L100" i="6" s="1"/>
  <c r="M100" i="6" s="1"/>
  <c r="N100" i="6" s="1"/>
  <c r="J99" i="6"/>
  <c r="J98" i="6"/>
  <c r="L98" i="6" s="1"/>
  <c r="M98" i="6" s="1"/>
  <c r="N98" i="6" s="1"/>
  <c r="J97" i="6"/>
  <c r="J96" i="6"/>
  <c r="J95" i="6"/>
  <c r="J94" i="6"/>
  <c r="J93" i="6"/>
  <c r="L93" i="6" s="1"/>
  <c r="M93" i="6" s="1"/>
  <c r="N93" i="6" s="1"/>
  <c r="J92" i="6"/>
  <c r="L92" i="6" s="1"/>
  <c r="M92" i="6" s="1"/>
  <c r="N92" i="6" s="1"/>
  <c r="J91" i="6"/>
  <c r="J90" i="6"/>
  <c r="J89" i="6"/>
  <c r="J88" i="6"/>
  <c r="J87" i="6"/>
  <c r="L87" i="6" s="1"/>
  <c r="M87" i="6" s="1"/>
  <c r="N87" i="6" s="1"/>
  <c r="J86" i="6"/>
  <c r="J85" i="6"/>
  <c r="L85" i="6" s="1"/>
  <c r="M85" i="6" s="1"/>
  <c r="N85" i="6" s="1"/>
  <c r="J84" i="6"/>
  <c r="J83" i="6"/>
  <c r="L83" i="6" s="1"/>
  <c r="M83" i="6" s="1"/>
  <c r="N83" i="6" s="1"/>
  <c r="J82" i="6"/>
  <c r="J81" i="6"/>
  <c r="J80" i="6"/>
  <c r="J79" i="6"/>
  <c r="J78" i="6"/>
  <c r="J77" i="6"/>
  <c r="L77" i="6" s="1"/>
  <c r="M77" i="6" s="1"/>
  <c r="N77" i="6" s="1"/>
  <c r="J76" i="6"/>
  <c r="L76" i="6" s="1"/>
  <c r="M76" i="6" s="1"/>
  <c r="N76" i="6" s="1"/>
  <c r="J75" i="6"/>
  <c r="J74" i="6"/>
  <c r="J73" i="6"/>
  <c r="J72" i="6"/>
  <c r="J71" i="6"/>
  <c r="J70" i="6"/>
  <c r="J69" i="6"/>
  <c r="L69" i="6" s="1"/>
  <c r="M69" i="6" s="1"/>
  <c r="N69" i="6" s="1"/>
  <c r="J68" i="6"/>
  <c r="L68" i="6" s="1"/>
  <c r="M68" i="6" s="1"/>
  <c r="N68" i="6" s="1"/>
  <c r="J67" i="6"/>
  <c r="J66" i="6"/>
  <c r="L66" i="6" s="1"/>
  <c r="M66" i="6" s="1"/>
  <c r="N66" i="6" s="1"/>
  <c r="J65" i="6"/>
  <c r="J64" i="6"/>
  <c r="J63" i="6"/>
  <c r="J62" i="6"/>
  <c r="J61" i="6"/>
  <c r="L61" i="6" s="1"/>
  <c r="M61" i="6" s="1"/>
  <c r="N61" i="6" s="1"/>
  <c r="J60" i="6"/>
  <c r="L60" i="6" s="1"/>
  <c r="M60" i="6" s="1"/>
  <c r="N60" i="6" s="1"/>
  <c r="J59" i="6"/>
  <c r="J58" i="6"/>
  <c r="J57" i="6"/>
  <c r="J56" i="6"/>
  <c r="J55" i="6"/>
  <c r="L55" i="6" s="1"/>
  <c r="M55" i="6" s="1"/>
  <c r="N55" i="6" s="1"/>
  <c r="J54" i="6"/>
  <c r="J53" i="6"/>
  <c r="J52" i="6"/>
  <c r="J51" i="6"/>
  <c r="L51" i="6" s="1"/>
  <c r="M51" i="6" s="1"/>
  <c r="N51" i="6" s="1"/>
  <c r="J50" i="6"/>
  <c r="J49" i="6"/>
  <c r="J48" i="6"/>
  <c r="J47" i="6"/>
  <c r="J46" i="6"/>
  <c r="J45" i="6"/>
  <c r="L45" i="6" s="1"/>
  <c r="M45" i="6" s="1"/>
  <c r="N45" i="6" s="1"/>
  <c r="J44" i="6"/>
  <c r="L44" i="6" s="1"/>
  <c r="M44" i="6" s="1"/>
  <c r="N44" i="6" s="1"/>
  <c r="J43" i="6"/>
  <c r="J42" i="6"/>
  <c r="J41" i="6"/>
  <c r="J40" i="6"/>
  <c r="J39" i="6"/>
  <c r="J38" i="6"/>
  <c r="J37" i="6"/>
  <c r="L37" i="6" s="1"/>
  <c r="M37" i="6" s="1"/>
  <c r="N37" i="6" s="1"/>
  <c r="J36" i="6"/>
  <c r="L36" i="6" s="1"/>
  <c r="M36" i="6" s="1"/>
  <c r="N36" i="6" s="1"/>
  <c r="J35" i="6"/>
  <c r="J34" i="6"/>
  <c r="L34" i="6" s="1"/>
  <c r="M34" i="6" s="1"/>
  <c r="N34" i="6" s="1"/>
  <c r="J33" i="6"/>
  <c r="J32" i="6"/>
  <c r="J31" i="6"/>
  <c r="J30" i="6"/>
  <c r="J29" i="6"/>
  <c r="L29" i="6" s="1"/>
  <c r="M29" i="6" s="1"/>
  <c r="N29" i="6" s="1"/>
  <c r="J28" i="6"/>
  <c r="L28" i="6" s="1"/>
  <c r="M28" i="6" s="1"/>
  <c r="N28" i="6" s="1"/>
  <c r="J27" i="6"/>
  <c r="J26" i="6"/>
  <c r="J25" i="6"/>
  <c r="J24" i="6"/>
  <c r="J23" i="6"/>
  <c r="L23" i="6" s="1"/>
  <c r="M23" i="6" s="1"/>
  <c r="N23" i="6" s="1"/>
  <c r="J22" i="6"/>
  <c r="J21" i="6"/>
  <c r="L21" i="6" s="1"/>
  <c r="M21" i="6" s="1"/>
  <c r="N21" i="6" s="1"/>
  <c r="J20" i="6"/>
  <c r="L20" i="6" s="1"/>
  <c r="M20" i="6" s="1"/>
  <c r="N20" i="6" s="1"/>
  <c r="J19" i="6"/>
  <c r="L19" i="6" s="1"/>
  <c r="M19" i="6" s="1"/>
  <c r="N19" i="6" s="1"/>
  <c r="J18" i="6"/>
  <c r="J17" i="6"/>
  <c r="J16" i="6"/>
  <c r="J15" i="6"/>
  <c r="J14" i="6"/>
  <c r="J13" i="6"/>
  <c r="L13" i="6" s="1"/>
  <c r="M13" i="6" s="1"/>
  <c r="N13" i="6" s="1"/>
  <c r="J12" i="6"/>
  <c r="L12" i="6" s="1"/>
  <c r="M12" i="6" s="1"/>
  <c r="N12" i="6" s="1"/>
  <c r="J11" i="6"/>
  <c r="J10" i="6"/>
  <c r="J9" i="6"/>
  <c r="J8" i="6"/>
  <c r="J7" i="6"/>
  <c r="J6" i="6"/>
  <c r="J5" i="6"/>
  <c r="L5" i="6" s="1"/>
  <c r="M5" i="6" s="1"/>
  <c r="N5" i="6" s="1"/>
  <c r="J4" i="6"/>
  <c r="L4" i="6" s="1"/>
  <c r="M4" i="6" s="1"/>
  <c r="N4" i="6" s="1"/>
  <c r="J3" i="6"/>
  <c r="L3" i="6" s="1"/>
  <c r="M3" i="6" s="1"/>
  <c r="N3" i="6" s="1"/>
  <c r="J2" i="6"/>
  <c r="L244" i="6"/>
  <c r="M244" i="6" s="1"/>
  <c r="N244" i="6" s="1"/>
  <c r="L241" i="6"/>
  <c r="M241" i="6" s="1"/>
  <c r="N241" i="6" s="1"/>
  <c r="L233" i="6"/>
  <c r="M233" i="6" s="1"/>
  <c r="N233" i="6" s="1"/>
  <c r="L225" i="6"/>
  <c r="M225" i="6" s="1"/>
  <c r="N225" i="6" s="1"/>
  <c r="L217" i="6"/>
  <c r="M217" i="6" s="1"/>
  <c r="N217" i="6" s="1"/>
  <c r="L212" i="6"/>
  <c r="M212" i="6" s="1"/>
  <c r="N212" i="6" s="1"/>
  <c r="L209" i="6"/>
  <c r="M209" i="6" s="1"/>
  <c r="N209" i="6" s="1"/>
  <c r="L201" i="6"/>
  <c r="M201" i="6" s="1"/>
  <c r="N201" i="6" s="1"/>
  <c r="L193" i="6"/>
  <c r="M193" i="6" s="1"/>
  <c r="N193" i="6" s="1"/>
  <c r="L185" i="6"/>
  <c r="M185" i="6" s="1"/>
  <c r="N185" i="6" s="1"/>
  <c r="L180" i="6"/>
  <c r="M180" i="6" s="1"/>
  <c r="N180" i="6" s="1"/>
  <c r="L177" i="6"/>
  <c r="M177" i="6" s="1"/>
  <c r="N177" i="6" s="1"/>
  <c r="L169" i="6"/>
  <c r="M169" i="6" s="1"/>
  <c r="N169" i="6" s="1"/>
  <c r="L161" i="6"/>
  <c r="M161" i="6" s="1"/>
  <c r="N161" i="6" s="1"/>
  <c r="L153" i="6"/>
  <c r="M153" i="6" s="1"/>
  <c r="N153" i="6" s="1"/>
  <c r="L148" i="6"/>
  <c r="M148" i="6" s="1"/>
  <c r="N148" i="6" s="1"/>
  <c r="L145" i="6"/>
  <c r="M145" i="6" s="1"/>
  <c r="N145" i="6" s="1"/>
  <c r="L137" i="6"/>
  <c r="M137" i="6" s="1"/>
  <c r="N137" i="6" s="1"/>
  <c r="L129" i="6"/>
  <c r="M129" i="6" s="1"/>
  <c r="N129" i="6" s="1"/>
  <c r="L121" i="6"/>
  <c r="M121" i="6" s="1"/>
  <c r="N121" i="6" s="1"/>
  <c r="L116" i="6"/>
  <c r="M116" i="6" s="1"/>
  <c r="N116" i="6" s="1"/>
  <c r="L113" i="6"/>
  <c r="M113" i="6" s="1"/>
  <c r="N113" i="6" s="1"/>
  <c r="L105" i="6"/>
  <c r="M105" i="6" s="1"/>
  <c r="N105" i="6" s="1"/>
  <c r="L97" i="6"/>
  <c r="M97" i="6" s="1"/>
  <c r="N97" i="6" s="1"/>
  <c r="L89" i="6"/>
  <c r="M89" i="6" s="1"/>
  <c r="N89" i="6" s="1"/>
  <c r="L84" i="6"/>
  <c r="M84" i="6" s="1"/>
  <c r="N84" i="6" s="1"/>
  <c r="L81" i="6"/>
  <c r="M81" i="6" s="1"/>
  <c r="N81" i="6" s="1"/>
  <c r="L73" i="6"/>
  <c r="M73" i="6" s="1"/>
  <c r="N73" i="6" s="1"/>
  <c r="L65" i="6"/>
  <c r="M65" i="6" s="1"/>
  <c r="N65" i="6" s="1"/>
  <c r="L57" i="6"/>
  <c r="M57" i="6" s="1"/>
  <c r="N57" i="6" s="1"/>
  <c r="L52" i="6"/>
  <c r="M52" i="6" s="1"/>
  <c r="N52" i="6" s="1"/>
  <c r="L49" i="6"/>
  <c r="M49" i="6" s="1"/>
  <c r="N49" i="6" s="1"/>
  <c r="L41" i="6"/>
  <c r="M41" i="6" s="1"/>
  <c r="N41" i="6" s="1"/>
  <c r="L33" i="6"/>
  <c r="M33" i="6" s="1"/>
  <c r="N33" i="6" s="1"/>
  <c r="L25" i="6"/>
  <c r="M25" i="6" s="1"/>
  <c r="N25" i="6" s="1"/>
  <c r="L17" i="6"/>
  <c r="M17" i="6" s="1"/>
  <c r="N17" i="6" s="1"/>
  <c r="L9" i="6"/>
  <c r="M9" i="6" s="1"/>
  <c r="N9" i="6" s="1"/>
  <c r="L242" i="6"/>
  <c r="M242" i="6" s="1"/>
  <c r="N242" i="6" s="1"/>
  <c r="L240" i="6"/>
  <c r="M240" i="6" s="1"/>
  <c r="N240" i="6" s="1"/>
  <c r="L239" i="6"/>
  <c r="M239" i="6" s="1"/>
  <c r="N239" i="6" s="1"/>
  <c r="L238" i="6"/>
  <c r="M238" i="6" s="1"/>
  <c r="N238" i="6" s="1"/>
  <c r="L235" i="6"/>
  <c r="M235" i="6" s="1"/>
  <c r="N235" i="6" s="1"/>
  <c r="L234" i="6"/>
  <c r="M234" i="6" s="1"/>
  <c r="N234" i="6" s="1"/>
  <c r="L232" i="6"/>
  <c r="M232" i="6" s="1"/>
  <c r="N232" i="6" s="1"/>
  <c r="L231" i="6"/>
  <c r="M231" i="6" s="1"/>
  <c r="N231" i="6" s="1"/>
  <c r="L230" i="6"/>
  <c r="M230" i="6" s="1"/>
  <c r="N230" i="6" s="1"/>
  <c r="L227" i="6"/>
  <c r="M227" i="6" s="1"/>
  <c r="N227" i="6" s="1"/>
  <c r="L224" i="6"/>
  <c r="M224" i="6" s="1"/>
  <c r="N224" i="6" s="1"/>
  <c r="L223" i="6"/>
  <c r="M223" i="6" s="1"/>
  <c r="N223" i="6" s="1"/>
  <c r="L222" i="6"/>
  <c r="M222" i="6" s="1"/>
  <c r="N222" i="6" s="1"/>
  <c r="L219" i="6"/>
  <c r="M219" i="6" s="1"/>
  <c r="N219" i="6" s="1"/>
  <c r="L218" i="6"/>
  <c r="M218" i="6" s="1"/>
  <c r="N218" i="6" s="1"/>
  <c r="L216" i="6"/>
  <c r="M216" i="6" s="1"/>
  <c r="N216" i="6" s="1"/>
  <c r="L215" i="6"/>
  <c r="M215" i="6" s="1"/>
  <c r="N215" i="6" s="1"/>
  <c r="L214" i="6"/>
  <c r="M214" i="6" s="1"/>
  <c r="N214" i="6" s="1"/>
  <c r="L213" i="6"/>
  <c r="M213" i="6" s="1"/>
  <c r="N213" i="6" s="1"/>
  <c r="L210" i="6"/>
  <c r="M210" i="6" s="1"/>
  <c r="N210" i="6" s="1"/>
  <c r="L208" i="6"/>
  <c r="M208" i="6" s="1"/>
  <c r="N208" i="6" s="1"/>
  <c r="L207" i="6"/>
  <c r="M207" i="6" s="1"/>
  <c r="N207" i="6" s="1"/>
  <c r="L206" i="6"/>
  <c r="M206" i="6" s="1"/>
  <c r="N206" i="6" s="1"/>
  <c r="L203" i="6"/>
  <c r="M203" i="6" s="1"/>
  <c r="N203" i="6" s="1"/>
  <c r="L202" i="6"/>
  <c r="M202" i="6" s="1"/>
  <c r="N202" i="6" s="1"/>
  <c r="L200" i="6"/>
  <c r="M200" i="6" s="1"/>
  <c r="N200" i="6" s="1"/>
  <c r="L199" i="6"/>
  <c r="M199" i="6" s="1"/>
  <c r="N199" i="6" s="1"/>
  <c r="L198" i="6"/>
  <c r="M198" i="6" s="1"/>
  <c r="N198" i="6" s="1"/>
  <c r="L195" i="6"/>
  <c r="M195" i="6" s="1"/>
  <c r="N195" i="6" s="1"/>
  <c r="L192" i="6"/>
  <c r="M192" i="6" s="1"/>
  <c r="N192" i="6" s="1"/>
  <c r="L191" i="6"/>
  <c r="M191" i="6" s="1"/>
  <c r="N191" i="6" s="1"/>
  <c r="L190" i="6"/>
  <c r="M190" i="6" s="1"/>
  <c r="N190" i="6" s="1"/>
  <c r="L189" i="6"/>
  <c r="M189" i="6" s="1"/>
  <c r="N189" i="6" s="1"/>
  <c r="L187" i="6"/>
  <c r="M187" i="6" s="1"/>
  <c r="N187" i="6" s="1"/>
  <c r="L186" i="6"/>
  <c r="M186" i="6" s="1"/>
  <c r="N186" i="6" s="1"/>
  <c r="L184" i="6"/>
  <c r="M184" i="6" s="1"/>
  <c r="N184" i="6" s="1"/>
  <c r="L183" i="6"/>
  <c r="M183" i="6" s="1"/>
  <c r="N183" i="6" s="1"/>
  <c r="L182" i="6"/>
  <c r="M182" i="6" s="1"/>
  <c r="N182" i="6" s="1"/>
  <c r="L178" i="6"/>
  <c r="M178" i="6" s="1"/>
  <c r="N178" i="6" s="1"/>
  <c r="L176" i="6"/>
  <c r="M176" i="6" s="1"/>
  <c r="N176" i="6" s="1"/>
  <c r="L175" i="6"/>
  <c r="M175" i="6" s="1"/>
  <c r="N175" i="6" s="1"/>
  <c r="L174" i="6"/>
  <c r="M174" i="6" s="1"/>
  <c r="N174" i="6" s="1"/>
  <c r="L171" i="6"/>
  <c r="M171" i="6" s="1"/>
  <c r="N171" i="6" s="1"/>
  <c r="L170" i="6"/>
  <c r="M170" i="6" s="1"/>
  <c r="N170" i="6" s="1"/>
  <c r="L168" i="6"/>
  <c r="M168" i="6" s="1"/>
  <c r="N168" i="6" s="1"/>
  <c r="L167" i="6"/>
  <c r="M167" i="6" s="1"/>
  <c r="N167" i="6" s="1"/>
  <c r="L166" i="6"/>
  <c r="M166" i="6" s="1"/>
  <c r="N166" i="6" s="1"/>
  <c r="L163" i="6"/>
  <c r="M163" i="6" s="1"/>
  <c r="N163" i="6" s="1"/>
  <c r="L160" i="6"/>
  <c r="M160" i="6" s="1"/>
  <c r="N160" i="6" s="1"/>
  <c r="L159" i="6"/>
  <c r="M159" i="6" s="1"/>
  <c r="N159" i="6" s="1"/>
  <c r="L158" i="6"/>
  <c r="M158" i="6" s="1"/>
  <c r="N158" i="6" s="1"/>
  <c r="L155" i="6"/>
  <c r="M155" i="6" s="1"/>
  <c r="N155" i="6" s="1"/>
  <c r="L154" i="6"/>
  <c r="M154" i="6" s="1"/>
  <c r="N154" i="6" s="1"/>
  <c r="L152" i="6"/>
  <c r="M152" i="6" s="1"/>
  <c r="N152" i="6" s="1"/>
  <c r="L151" i="6"/>
  <c r="M151" i="6" s="1"/>
  <c r="N151" i="6" s="1"/>
  <c r="L150" i="6"/>
  <c r="M150" i="6" s="1"/>
  <c r="N150" i="6" s="1"/>
  <c r="L146" i="6"/>
  <c r="M146" i="6" s="1"/>
  <c r="N146" i="6" s="1"/>
  <c r="L144" i="6"/>
  <c r="M144" i="6" s="1"/>
  <c r="N144" i="6" s="1"/>
  <c r="L143" i="6"/>
  <c r="M143" i="6" s="1"/>
  <c r="N143" i="6" s="1"/>
  <c r="L142" i="6"/>
  <c r="M142" i="6" s="1"/>
  <c r="N142" i="6" s="1"/>
  <c r="L139" i="6"/>
  <c r="M139" i="6" s="1"/>
  <c r="N139" i="6" s="1"/>
  <c r="L138" i="6"/>
  <c r="M138" i="6" s="1"/>
  <c r="N138" i="6" s="1"/>
  <c r="L136" i="6"/>
  <c r="M136" i="6" s="1"/>
  <c r="N136" i="6" s="1"/>
  <c r="L135" i="6"/>
  <c r="M135" i="6" s="1"/>
  <c r="N135" i="6" s="1"/>
  <c r="L134" i="6"/>
  <c r="M134" i="6" s="1"/>
  <c r="N134" i="6" s="1"/>
  <c r="L131" i="6"/>
  <c r="M131" i="6" s="1"/>
  <c r="N131" i="6" s="1"/>
  <c r="L128" i="6"/>
  <c r="M128" i="6" s="1"/>
  <c r="N128" i="6" s="1"/>
  <c r="L127" i="6"/>
  <c r="M127" i="6" s="1"/>
  <c r="N127" i="6" s="1"/>
  <c r="L126" i="6"/>
  <c r="M126" i="6" s="1"/>
  <c r="N126" i="6" s="1"/>
  <c r="L123" i="6"/>
  <c r="M123" i="6" s="1"/>
  <c r="N123" i="6" s="1"/>
  <c r="L122" i="6"/>
  <c r="M122" i="6" s="1"/>
  <c r="N122" i="6" s="1"/>
  <c r="L120" i="6"/>
  <c r="M120" i="6" s="1"/>
  <c r="N120" i="6" s="1"/>
  <c r="L118" i="6"/>
  <c r="M118" i="6" s="1"/>
  <c r="N118" i="6" s="1"/>
  <c r="L117" i="6"/>
  <c r="M117" i="6" s="1"/>
  <c r="N117" i="6" s="1"/>
  <c r="L114" i="6"/>
  <c r="M114" i="6" s="1"/>
  <c r="N114" i="6" s="1"/>
  <c r="L112" i="6"/>
  <c r="M112" i="6" s="1"/>
  <c r="N112" i="6" s="1"/>
  <c r="L111" i="6"/>
  <c r="M111" i="6" s="1"/>
  <c r="N111" i="6" s="1"/>
  <c r="L110" i="6"/>
  <c r="M110" i="6" s="1"/>
  <c r="N110" i="6" s="1"/>
  <c r="L107" i="6"/>
  <c r="M107" i="6" s="1"/>
  <c r="N107" i="6" s="1"/>
  <c r="L106" i="6"/>
  <c r="M106" i="6" s="1"/>
  <c r="N106" i="6" s="1"/>
  <c r="L104" i="6"/>
  <c r="M104" i="6" s="1"/>
  <c r="N104" i="6" s="1"/>
  <c r="L103" i="6"/>
  <c r="M103" i="6" s="1"/>
  <c r="N103" i="6" s="1"/>
  <c r="L102" i="6"/>
  <c r="M102" i="6" s="1"/>
  <c r="N102" i="6" s="1"/>
  <c r="L99" i="6"/>
  <c r="M99" i="6" s="1"/>
  <c r="N99" i="6" s="1"/>
  <c r="L96" i="6"/>
  <c r="M96" i="6" s="1"/>
  <c r="N96" i="6" s="1"/>
  <c r="L95" i="6"/>
  <c r="M95" i="6" s="1"/>
  <c r="N95" i="6" s="1"/>
  <c r="L94" i="6"/>
  <c r="M94" i="6" s="1"/>
  <c r="N94" i="6" s="1"/>
  <c r="L91" i="6"/>
  <c r="M91" i="6" s="1"/>
  <c r="N91" i="6" s="1"/>
  <c r="L90" i="6"/>
  <c r="M90" i="6" s="1"/>
  <c r="N90" i="6" s="1"/>
  <c r="L88" i="6"/>
  <c r="M88" i="6" s="1"/>
  <c r="N88" i="6" s="1"/>
  <c r="L86" i="6"/>
  <c r="M86" i="6" s="1"/>
  <c r="N86" i="6" s="1"/>
  <c r="L82" i="6"/>
  <c r="M82" i="6" s="1"/>
  <c r="N82" i="6" s="1"/>
  <c r="L80" i="6"/>
  <c r="M80" i="6" s="1"/>
  <c r="N80" i="6" s="1"/>
  <c r="L79" i="6"/>
  <c r="M79" i="6" s="1"/>
  <c r="N79" i="6" s="1"/>
  <c r="L78" i="6"/>
  <c r="M78" i="6" s="1"/>
  <c r="N78" i="6" s="1"/>
  <c r="L75" i="6"/>
  <c r="M75" i="6" s="1"/>
  <c r="N75" i="6" s="1"/>
  <c r="L74" i="6"/>
  <c r="M74" i="6" s="1"/>
  <c r="N74" i="6" s="1"/>
  <c r="L72" i="6"/>
  <c r="M72" i="6" s="1"/>
  <c r="N72" i="6" s="1"/>
  <c r="L71" i="6"/>
  <c r="M71" i="6" s="1"/>
  <c r="N71" i="6" s="1"/>
  <c r="L70" i="6"/>
  <c r="M70" i="6" s="1"/>
  <c r="N70" i="6" s="1"/>
  <c r="L67" i="6"/>
  <c r="M67" i="6" s="1"/>
  <c r="N67" i="6" s="1"/>
  <c r="L64" i="6"/>
  <c r="M64" i="6" s="1"/>
  <c r="N64" i="6" s="1"/>
  <c r="L63" i="6"/>
  <c r="M63" i="6" s="1"/>
  <c r="N63" i="6" s="1"/>
  <c r="L62" i="6"/>
  <c r="M62" i="6" s="1"/>
  <c r="N62" i="6" s="1"/>
  <c r="L59" i="6"/>
  <c r="M59" i="6" s="1"/>
  <c r="N59" i="6" s="1"/>
  <c r="L58" i="6"/>
  <c r="M58" i="6" s="1"/>
  <c r="N58" i="6" s="1"/>
  <c r="L56" i="6"/>
  <c r="M56" i="6" s="1"/>
  <c r="N56" i="6" s="1"/>
  <c r="L54" i="6"/>
  <c r="M54" i="6" s="1"/>
  <c r="N54" i="6" s="1"/>
  <c r="L53" i="6"/>
  <c r="M53" i="6" s="1"/>
  <c r="N53" i="6" s="1"/>
  <c r="L50" i="6"/>
  <c r="M50" i="6" s="1"/>
  <c r="N50" i="6" s="1"/>
  <c r="L48" i="6"/>
  <c r="M48" i="6" s="1"/>
  <c r="N48" i="6" s="1"/>
  <c r="L47" i="6"/>
  <c r="M47" i="6" s="1"/>
  <c r="N47" i="6" s="1"/>
  <c r="L46" i="6"/>
  <c r="M46" i="6" s="1"/>
  <c r="N46" i="6" s="1"/>
  <c r="L43" i="6"/>
  <c r="M43" i="6" s="1"/>
  <c r="N43" i="6" s="1"/>
  <c r="L42" i="6"/>
  <c r="M42" i="6" s="1"/>
  <c r="N42" i="6" s="1"/>
  <c r="L40" i="6"/>
  <c r="M40" i="6" s="1"/>
  <c r="N40" i="6" s="1"/>
  <c r="L39" i="6"/>
  <c r="M39" i="6" s="1"/>
  <c r="N39" i="6" s="1"/>
  <c r="L38" i="6"/>
  <c r="M38" i="6" s="1"/>
  <c r="N38" i="6" s="1"/>
  <c r="L35" i="6"/>
  <c r="M35" i="6" s="1"/>
  <c r="N35" i="6" s="1"/>
  <c r="L32" i="6"/>
  <c r="M32" i="6" s="1"/>
  <c r="N32" i="6" s="1"/>
  <c r="L31" i="6"/>
  <c r="M31" i="6" s="1"/>
  <c r="N31" i="6" s="1"/>
  <c r="L30" i="6"/>
  <c r="M30" i="6" s="1"/>
  <c r="N30" i="6" s="1"/>
  <c r="L27" i="6"/>
  <c r="M27" i="6" s="1"/>
  <c r="N27" i="6" s="1"/>
  <c r="L26" i="6"/>
  <c r="M26" i="6" s="1"/>
  <c r="N26" i="6" s="1"/>
  <c r="L24" i="6"/>
  <c r="M24" i="6" s="1"/>
  <c r="N24" i="6" s="1"/>
  <c r="L22" i="6"/>
  <c r="M22" i="6" s="1"/>
  <c r="N22" i="6" s="1"/>
  <c r="L18" i="6"/>
  <c r="M18" i="6" s="1"/>
  <c r="N18" i="6" s="1"/>
  <c r="L16" i="6"/>
  <c r="M16" i="6" s="1"/>
  <c r="N16" i="6" s="1"/>
  <c r="L15" i="6"/>
  <c r="M15" i="6" s="1"/>
  <c r="N15" i="6" s="1"/>
  <c r="L14" i="6"/>
  <c r="M14" i="6" s="1"/>
  <c r="N14" i="6" s="1"/>
  <c r="L11" i="6"/>
  <c r="M11" i="6" s="1"/>
  <c r="N11" i="6" s="1"/>
  <c r="L10" i="6"/>
  <c r="M10" i="6" s="1"/>
  <c r="N10" i="6" s="1"/>
  <c r="L8" i="6"/>
  <c r="M8" i="6" s="1"/>
  <c r="N8" i="6" s="1"/>
  <c r="L7" i="6"/>
  <c r="M7" i="6" s="1"/>
  <c r="N7" i="6" s="1"/>
  <c r="L6" i="6"/>
  <c r="M6" i="6" s="1"/>
  <c r="N6" i="6" s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K12" i="1" l="1"/>
  <c r="L3" i="1" l="1"/>
  <c r="L2" i="1"/>
  <c r="K2" i="1"/>
  <c r="K3" i="1"/>
  <c r="K4" i="1"/>
  <c r="K5" i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L5" i="1" l="1"/>
  <c r="L6" i="1"/>
  <c r="L4" i="1"/>
</calcChain>
</file>

<file path=xl/sharedStrings.xml><?xml version="1.0" encoding="utf-8"?>
<sst xmlns="http://schemas.openxmlformats.org/spreadsheetml/2006/main" count="3996" uniqueCount="63">
  <si>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</si>
  <si>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</si>
  <si>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</si>
  <si>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</si>
  <si>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</si>
  <si>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</si>
  <si>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</si>
  <si>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</si>
  <si>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</si>
  <si>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</si>
  <si>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</si>
  <si>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</si>
  <si>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</si>
  <si>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</si>
  <si>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</si>
  <si>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</si>
  <si>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</si>
  <si>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</si>
  <si>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</si>
  <si>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</si>
  <si>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</si>
  <si>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</si>
  <si>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</si>
  <si>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</si>
  <si>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</si>
  <si>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</si>
  <si>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Sex_numeric</t>
  </si>
  <si>
    <t>smoker_numeric</t>
  </si>
  <si>
    <t>time_numeric</t>
  </si>
  <si>
    <t>day_numeric</t>
  </si>
  <si>
    <t>correlation result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</si>
  <si>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</si>
  <si>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</si>
  <si>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</si>
  <si>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</si>
  <si>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</si>
  <si>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</si>
  <si>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</si>
  <si>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</si>
  <si>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</si>
  <si>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</si>
  <si>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</si>
  <si>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</si>
  <si>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</si>
  <si>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</si>
  <si>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</si>
  <si>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</si>
  <si>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</si>
  <si>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</si>
  <si>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</si>
  <si>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</si>
  <si>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</si>
  <si>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</si>
  <si>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</si>
  <si>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</si>
  <si>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error</t>
  </si>
  <si>
    <t>squared error</t>
  </si>
  <si>
    <t>MSE</t>
  </si>
  <si>
    <t>RMSE</t>
  </si>
  <si>
    <t>predicted_tip</t>
  </si>
  <si>
    <t>FINAL EQUATION</t>
  </si>
  <si>
    <t>Tip=0.775857+0.092604(total_bill)+0.189177(size)-0.100181(sex_numeric)+0.024859(smoker_numeric)+0.024544(time_numeric)-0.024922(day_numeric)</t>
  </si>
  <si>
    <t>Predicting restaurant tips using predictive analytics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</si>
</sst>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2020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shrinkToFit="1"/>
    </xf>
    <xf numFmtId="0" fontId="0" fillId="0" borderId="0" xfId="0" applyNumberFormat="1"/>
    <xf numFmtId="0" fontId="0" fillId="0" borderId="1" xfId="0" applyNumberFormat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shrinkToFit="1"/>
    </xf>
    <xf numFmtId="0" fontId="4" fillId="3" borderId="2" xfId="0" applyFont="1" applyFill="1" applyBorder="1"/>
    <xf numFmtId="0" fontId="0" fillId="0" borderId="2" xfId="0" applyBorder="1"/>
    <xf numFmtId="0" fontId="4" fillId="0" borderId="2" xfId="0" applyFont="1" applyBorder="1"/>
    <xf numFmtId="0" fontId="4" fillId="3" borderId="1" xfId="0" applyFont="1" applyFill="1" applyBorder="1"/>
    <xf numFmtId="0" fontId="4" fillId="0" borderId="1" xfId="0" applyFont="1" applyBorder="1"/>
    <xf numFmtId="0" fontId="1" fillId="0" borderId="0" xfId="0" applyFont="1"/>
    <xf numFmtId="0" fontId="0" fillId="0" borderId="3" xfId="0" applyFont="1" applyBorder="1"/>
    <xf numFmtId="0" fontId="0" fillId="4" borderId="0" xfId="0" applyFill="1"/>
    <xf numFmtId="0" fontId="2" fillId="5" borderId="1" xfId="0" applyFont="1" applyFill="1" applyBorder="1" applyAlignment="1">
      <alignment horizontal="centerContinuous"/>
    </xf>
    <xf numFmtId="0" fontId="0" fillId="0" borderId="1" xfId="0" applyFill="1" applyBorder="1" applyAlignment="1"/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0" fillId="7" borderId="1" xfId="0" applyFill="1" applyBorder="1" applyAlignment="1"/>
    <xf numFmtId="0" fontId="5" fillId="9" borderId="4" xfId="0" applyFont="1" applyFill="1" applyBorder="1"/>
    <xf numFmtId="0" fontId="0" fillId="8" borderId="4" xfId="0" applyFont="1" applyFill="1" applyBorder="1"/>
    <xf numFmtId="0" fontId="0" fillId="0" borderId="4" xfId="0" applyFont="1" applyBorder="1"/>
    <xf numFmtId="0" fontId="6" fillId="10" borderId="0" xfId="0" applyFont="1" applyFill="1"/>
    <xf numFmtId="0" fontId="0" fillId="10" borderId="0" xfId="0" applyFill="1"/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'total bill vs tip'!$B$1</c:f>
              <c:strCache>
                <c:ptCount val="1"/>
                <c:pt idx="0">
                  <c:v>tip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'total bill vs tip'!$A$2:$A$244</c:f>
              <c:numCache>
                <c:formatCode>General</c:formatCode>
                <c:ptCount val="243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16.399999999999999</c:v>
                </c:pt>
                <c:pt idx="203">
                  <c:v>20.53</c:v>
                </c:pt>
                <c:pt idx="204">
                  <c:v>16.47</c:v>
                </c:pt>
                <c:pt idx="205">
                  <c:v>26.59</c:v>
                </c:pt>
                <c:pt idx="206">
                  <c:v>38.729999999999997</c:v>
                </c:pt>
                <c:pt idx="207">
                  <c:v>24.27</c:v>
                </c:pt>
                <c:pt idx="208">
                  <c:v>12.76</c:v>
                </c:pt>
                <c:pt idx="209">
                  <c:v>30.06</c:v>
                </c:pt>
                <c:pt idx="210">
                  <c:v>25.89</c:v>
                </c:pt>
                <c:pt idx="211">
                  <c:v>48.33</c:v>
                </c:pt>
                <c:pt idx="212">
                  <c:v>13.27</c:v>
                </c:pt>
                <c:pt idx="213">
                  <c:v>28.17</c:v>
                </c:pt>
                <c:pt idx="214">
                  <c:v>12.9</c:v>
                </c:pt>
                <c:pt idx="215">
                  <c:v>28.15</c:v>
                </c:pt>
                <c:pt idx="216">
                  <c:v>11.59</c:v>
                </c:pt>
                <c:pt idx="217">
                  <c:v>7.74</c:v>
                </c:pt>
                <c:pt idx="218">
                  <c:v>30.14</c:v>
                </c:pt>
                <c:pt idx="219">
                  <c:v>12.16</c:v>
                </c:pt>
                <c:pt idx="220">
                  <c:v>13.42</c:v>
                </c:pt>
                <c:pt idx="221">
                  <c:v>8.58</c:v>
                </c:pt>
                <c:pt idx="222">
                  <c:v>15.98</c:v>
                </c:pt>
                <c:pt idx="223">
                  <c:v>13.42</c:v>
                </c:pt>
                <c:pt idx="224">
                  <c:v>16.27</c:v>
                </c:pt>
                <c:pt idx="225">
                  <c:v>10.09</c:v>
                </c:pt>
                <c:pt idx="226">
                  <c:v>20.45</c:v>
                </c:pt>
                <c:pt idx="227">
                  <c:v>13.28</c:v>
                </c:pt>
                <c:pt idx="228">
                  <c:v>22.12</c:v>
                </c:pt>
                <c:pt idx="229">
                  <c:v>24.01</c:v>
                </c:pt>
                <c:pt idx="230">
                  <c:v>15.69</c:v>
                </c:pt>
                <c:pt idx="231">
                  <c:v>11.61</c:v>
                </c:pt>
                <c:pt idx="232">
                  <c:v>10.77</c:v>
                </c:pt>
                <c:pt idx="233">
                  <c:v>15.53</c:v>
                </c:pt>
                <c:pt idx="234">
                  <c:v>10.07</c:v>
                </c:pt>
                <c:pt idx="235">
                  <c:v>12.6</c:v>
                </c:pt>
                <c:pt idx="236">
                  <c:v>32.83</c:v>
                </c:pt>
                <c:pt idx="237">
                  <c:v>35.83</c:v>
                </c:pt>
                <c:pt idx="238">
                  <c:v>29.03</c:v>
                </c:pt>
                <c:pt idx="239">
                  <c:v>27.18</c:v>
                </c:pt>
                <c:pt idx="240">
                  <c:v>22.67</c:v>
                </c:pt>
                <c:pt idx="241">
                  <c:v>17.82</c:v>
                </c:pt>
                <c:pt idx="242">
                  <c:v>18.78</c:v>
                </c:pt>
              </c:numCache>
            </c:numRef>
          </c:xVal>
          <c:yVal>
            <c:numRef>
              <c:f>'total bill vs tip'!$B$2:$B$244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95-49CE-950E-9925847C7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313696"/>
        <c:axId val="524317960"/>
      </c:scatterChart>
      <c:valAx>
        <c:axId val="52431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17960"/>
        <c:crosses val="autoZero"/>
        <c:crossBetween val="midCat"/>
      </c:valAx>
      <c:valAx>
        <c:axId val="52431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1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'total bill vs tip'!$A$1</c:f>
              <c:strCache>
                <c:ptCount val="1"/>
                <c:pt idx="0">
                  <c:v>total_bill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'total bill vs tip'!$A$2:$A$244</c:f>
              <c:numCache>
                <c:formatCode>General</c:formatCode>
                <c:ptCount val="243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16.399999999999999</c:v>
                </c:pt>
                <c:pt idx="203">
                  <c:v>20.53</c:v>
                </c:pt>
                <c:pt idx="204">
                  <c:v>16.47</c:v>
                </c:pt>
                <c:pt idx="205">
                  <c:v>26.59</c:v>
                </c:pt>
                <c:pt idx="206">
                  <c:v>38.729999999999997</c:v>
                </c:pt>
                <c:pt idx="207">
                  <c:v>24.27</c:v>
                </c:pt>
                <c:pt idx="208">
                  <c:v>12.76</c:v>
                </c:pt>
                <c:pt idx="209">
                  <c:v>30.06</c:v>
                </c:pt>
                <c:pt idx="210">
                  <c:v>25.89</c:v>
                </c:pt>
                <c:pt idx="211">
                  <c:v>48.33</c:v>
                </c:pt>
                <c:pt idx="212">
                  <c:v>13.27</c:v>
                </c:pt>
                <c:pt idx="213">
                  <c:v>28.17</c:v>
                </c:pt>
                <c:pt idx="214">
                  <c:v>12.9</c:v>
                </c:pt>
                <c:pt idx="215">
                  <c:v>28.15</c:v>
                </c:pt>
                <c:pt idx="216">
                  <c:v>11.59</c:v>
                </c:pt>
                <c:pt idx="217">
                  <c:v>7.74</c:v>
                </c:pt>
                <c:pt idx="218">
                  <c:v>30.14</c:v>
                </c:pt>
                <c:pt idx="219">
                  <c:v>12.16</c:v>
                </c:pt>
                <c:pt idx="220">
                  <c:v>13.42</c:v>
                </c:pt>
                <c:pt idx="221">
                  <c:v>8.58</c:v>
                </c:pt>
                <c:pt idx="222">
                  <c:v>15.98</c:v>
                </c:pt>
                <c:pt idx="223">
                  <c:v>13.42</c:v>
                </c:pt>
                <c:pt idx="224">
                  <c:v>16.27</c:v>
                </c:pt>
                <c:pt idx="225">
                  <c:v>10.09</c:v>
                </c:pt>
                <c:pt idx="226">
                  <c:v>20.45</c:v>
                </c:pt>
                <c:pt idx="227">
                  <c:v>13.28</c:v>
                </c:pt>
                <c:pt idx="228">
                  <c:v>22.12</c:v>
                </c:pt>
                <c:pt idx="229">
                  <c:v>24.01</c:v>
                </c:pt>
                <c:pt idx="230">
                  <c:v>15.69</c:v>
                </c:pt>
                <c:pt idx="231">
                  <c:v>11.61</c:v>
                </c:pt>
                <c:pt idx="232">
                  <c:v>10.77</c:v>
                </c:pt>
                <c:pt idx="233">
                  <c:v>15.53</c:v>
                </c:pt>
                <c:pt idx="234">
                  <c:v>10.07</c:v>
                </c:pt>
                <c:pt idx="235">
                  <c:v>12.6</c:v>
                </c:pt>
                <c:pt idx="236">
                  <c:v>32.83</c:v>
                </c:pt>
                <c:pt idx="237">
                  <c:v>35.83</c:v>
                </c:pt>
                <c:pt idx="238">
                  <c:v>29.03</c:v>
                </c:pt>
                <c:pt idx="239">
                  <c:v>27.18</c:v>
                </c:pt>
                <c:pt idx="240">
                  <c:v>22.67</c:v>
                </c:pt>
                <c:pt idx="241">
                  <c:v>17.82</c:v>
                </c:pt>
                <c:pt idx="242">
                  <c:v>18.78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6-49FE-9675-13D589E11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50664"/>
        <c:axId val="523746072"/>
      </c:scatterChart>
      <c:valAx>
        <c:axId val="523750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46072"/>
        <c:crosses val="autoZero"/>
        <c:crossBetween val="midCat"/>
      </c:valAx>
      <c:valAx>
        <c:axId val="52374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50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1</xdr:row>
      <xdr:rowOff>152400</xdr:rowOff>
    </xdr:from>
    <xdr:to>
      <xdr:col>10</xdr:col>
      <xdr:colOff>307975</xdr:colOff>
      <xdr:row>16</xdr:row>
      <xdr:rowOff>133350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584200</xdr:colOff>
      <xdr:row>1</xdr:row>
      <xdr:rowOff>165100</xdr:rowOff>
    </xdr:from>
    <xdr:to>
      <xdr:col>18</xdr:col>
      <xdr:colOff>279400</xdr:colOff>
      <xdr:row>16</xdr:row>
      <xdr:rowOff>146050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L244" totalsRowShown="0">
  <autoFilter ref="A1:L244"/>
  <tableColumns count="12">
    <tableColumn id="1" name="sex"/>
    <tableColumn id="2" name="smoker"/>
    <tableColumn id="3" name="day"/>
    <tableColumn id="4" name="time"/>
    <tableColumn id="5" name="size"/>
    <tableColumn id="6" name="total_bill"/>
    <tableColumn id="7" name="tip"/>
    <tableColumn id="8" name="Sex_numeric" dataDxfId="13">
      <calculatedColumnFormula>IF(A2="male",1,0)</calculatedColumnFormula>
    </tableColumn>
    <tableColumn id="9" name="smoker_numeric" dataDxfId="12">
      <calculatedColumnFormula>IF(B2="yes",1,0)</calculatedColumnFormula>
    </tableColumn>
    <tableColumn id="10" name="time_numeric" dataDxfId="11">
      <calculatedColumnFormula>IF(D2="Dinner",1,0)</calculatedColumnFormula>
    </tableColumn>
    <tableColumn id="11" name="day_numeric" dataDxfId="10">
      <calculatedColumnFormula>IF(C2="Sun",1,IF(C2="sat",2,IF(C2="thur",3,4)))</calculatedColumnFormula>
    </tableColumn>
    <tableColumn id="13" name="correlation resul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1:N245" totalsRowCount="1">
  <autoFilter ref="A1:N244"/>
  <tableColumns count="14">
    <tableColumn id="1" name="sex" totalsRowLabel="MSE"/>
    <tableColumn id="2" name="smoker"/>
    <tableColumn id="3" name="day"/>
    <tableColumn id="4" name="time"/>
    <tableColumn id="5" name="size"/>
    <tableColumn id="6" name="total_bill"/>
    <tableColumn id="8" name="Sex_numeric"/>
    <tableColumn id="9" name="smoker_numeric"/>
    <tableColumn id="10" name="time_numeric"/>
    <tableColumn id="13" name="day_numeric" dataDxfId="8" totalsRowDxfId="7"/>
    <tableColumn id="14" name="tip"/>
    <tableColumn id="15" name="predicted_tip" dataDxfId="6" totalsRowDxfId="5">
      <calculatedColumnFormula>0.775857+0.092604*F2+0.189177*E2-0.100181*H2+0.024859*I2+0.024544*J2-0.024922*K2</calculatedColumnFormula>
    </tableColumn>
    <tableColumn id="16" name="error" dataDxfId="4" totalsRowDxfId="3">
      <calculatedColumnFormula>K2-L2</calculatedColumnFormula>
    </tableColumn>
    <tableColumn id="17" name="squared error" dataDxfId="2" totalsRowDxfId="1">
      <calculatedColumnFormula>M2^2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K244" totalsRowShown="0">
  <autoFilter ref="A1:K244"/>
  <tableColumns count="11">
    <tableColumn id="1" name="sex"/>
    <tableColumn id="2" name="smoker"/>
    <tableColumn id="3" name="day"/>
    <tableColumn id="4" name="time"/>
    <tableColumn id="5" name="size"/>
    <tableColumn id="6" name="total_bill"/>
    <tableColumn id="8" name="Sex_numeric"/>
    <tableColumn id="9" name="smoker_numeric"/>
    <tableColumn id="10" name="time_numeric"/>
    <tableColumn id="13" name="day_numeric" dataDxfId="0">
      <calculatedColumnFormula>IF(C2="Sun",1,IF(C2="sat",2,IF(C2="thur",3,4)))</calculatedColumnFormula>
    </tableColumn>
    <tableColumn id="14" name="t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topLeftCell="B1" workbookViewId="0">
      <selection activeCell="L8" sqref="L8"/>
    </sheetView>
  </sheetViews>
  <sheetFormatPr defaultColWidth="13.453125" defaultRowHeight="14.5" x14ac:dyDescent="0.35"/>
  <cols>
    <col min="9" max="9" width="18" customWidth="1"/>
    <col min="10" max="10" width="17.54296875" customWidth="1"/>
    <col min="11" max="11" width="16.6328125" customWidth="1"/>
    <col min="12" max="12" width="15.6328125" customWidth="1"/>
    <col min="13" max="13" width="17" customWidth="1"/>
    <col min="16" max="16" width="16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s="2" t="s">
        <v>27</v>
      </c>
      <c r="J1" t="s">
        <v>28</v>
      </c>
      <c r="K1" t="s">
        <v>29</v>
      </c>
      <c r="L1" t="s">
        <v>30</v>
      </c>
    </row>
    <row r="2" spans="1:12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  <c r="H2">
        <f t="shared" ref="H2:H65" si="0">IF(A2="male",1,0)</f>
        <v>0</v>
      </c>
      <c r="I2">
        <f t="shared" ref="I2:I65" si="1">IF(B2="yes",1,0)</f>
        <v>0</v>
      </c>
      <c r="J2">
        <f t="shared" ref="J2:J65" si="2">IF(D2="Dinner",1,0)</f>
        <v>1</v>
      </c>
      <c r="K2" s="3">
        <f t="shared" ref="K2:K65" si="3">IF(C2="Sun",1,IF(C2="sat",2,IF(C2="thur",3,4)))</f>
        <v>1</v>
      </c>
      <c r="L2" s="3">
        <f>CORREL(F2:F100,G2:G100)</f>
        <v>0.78933017769056824</v>
      </c>
    </row>
    <row r="3" spans="1:12" x14ac:dyDescent="0.35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H3">
        <f t="shared" si="0"/>
        <v>1</v>
      </c>
      <c r="I3">
        <f t="shared" si="1"/>
        <v>0</v>
      </c>
      <c r="J3">
        <f t="shared" si="2"/>
        <v>1</v>
      </c>
      <c r="K3" s="4">
        <f t="shared" si="3"/>
        <v>1</v>
      </c>
      <c r="L3" s="3">
        <f>CORREL(E2:E100,G2:G100)</f>
        <v>0.47584528265322384</v>
      </c>
    </row>
    <row r="4" spans="1:12" x14ac:dyDescent="0.35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H4">
        <f t="shared" si="0"/>
        <v>1</v>
      </c>
      <c r="I4">
        <f t="shared" si="1"/>
        <v>0</v>
      </c>
      <c r="J4" s="1">
        <f t="shared" si="2"/>
        <v>1</v>
      </c>
      <c r="K4" s="4">
        <f t="shared" si="3"/>
        <v>1</v>
      </c>
      <c r="L4" s="3">
        <f>CORREL(I2:I100,G2:G100)</f>
        <v>-3.8286083051406232E-2</v>
      </c>
    </row>
    <row r="5" spans="1:12" x14ac:dyDescent="0.35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H5">
        <f t="shared" si="0"/>
        <v>1</v>
      </c>
      <c r="I5">
        <f t="shared" si="1"/>
        <v>0</v>
      </c>
      <c r="J5" s="1">
        <f t="shared" si="2"/>
        <v>1</v>
      </c>
      <c r="K5" s="4">
        <f t="shared" si="3"/>
        <v>1</v>
      </c>
      <c r="L5" s="3">
        <f>CORREL(H2:H100,G2:G100)</f>
        <v>7.1363984356078297E-2</v>
      </c>
    </row>
    <row r="6" spans="1:12" x14ac:dyDescent="0.35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H6">
        <f t="shared" si="0"/>
        <v>0</v>
      </c>
      <c r="I6">
        <f t="shared" si="1"/>
        <v>0</v>
      </c>
      <c r="J6" s="1">
        <f t="shared" si="2"/>
        <v>1</v>
      </c>
      <c r="K6" s="4">
        <f t="shared" si="3"/>
        <v>1</v>
      </c>
      <c r="L6" s="3">
        <f>CORREL(K2:K100,G2:G100)</f>
        <v>3.7001260210376183E-2</v>
      </c>
    </row>
    <row r="7" spans="1:12" x14ac:dyDescent="0.35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H7">
        <f t="shared" si="0"/>
        <v>1</v>
      </c>
      <c r="I7">
        <f t="shared" si="1"/>
        <v>0</v>
      </c>
      <c r="J7" s="1">
        <f t="shared" si="2"/>
        <v>1</v>
      </c>
      <c r="K7" s="4">
        <f t="shared" si="3"/>
        <v>1</v>
      </c>
    </row>
    <row r="8" spans="1:12" x14ac:dyDescent="0.35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H8">
        <f t="shared" si="0"/>
        <v>1</v>
      </c>
      <c r="I8">
        <f t="shared" si="1"/>
        <v>0</v>
      </c>
      <c r="J8" s="1">
        <f t="shared" si="2"/>
        <v>1</v>
      </c>
      <c r="K8" s="4">
        <f t="shared" si="3"/>
        <v>1</v>
      </c>
    </row>
    <row r="9" spans="1:12" x14ac:dyDescent="0.35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H9">
        <f t="shared" si="0"/>
        <v>1</v>
      </c>
      <c r="I9">
        <f t="shared" si="1"/>
        <v>0</v>
      </c>
      <c r="J9" s="1">
        <f t="shared" si="2"/>
        <v>1</v>
      </c>
      <c r="K9" s="4">
        <f t="shared" si="3"/>
        <v>1</v>
      </c>
    </row>
    <row r="10" spans="1:12" x14ac:dyDescent="0.35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  <c r="H10">
        <f t="shared" si="0"/>
        <v>1</v>
      </c>
      <c r="I10">
        <f t="shared" si="1"/>
        <v>0</v>
      </c>
      <c r="J10">
        <f t="shared" si="2"/>
        <v>1</v>
      </c>
      <c r="K10" s="3">
        <f t="shared" si="3"/>
        <v>1</v>
      </c>
    </row>
    <row r="11" spans="1:12" x14ac:dyDescent="0.35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  <c r="H11">
        <f t="shared" si="0"/>
        <v>1</v>
      </c>
      <c r="I11">
        <f t="shared" si="1"/>
        <v>0</v>
      </c>
      <c r="J11">
        <f t="shared" si="2"/>
        <v>1</v>
      </c>
      <c r="K11" s="3">
        <f t="shared" si="3"/>
        <v>1</v>
      </c>
    </row>
    <row r="12" spans="1:12" x14ac:dyDescent="0.35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  <c r="H12">
        <f t="shared" si="0"/>
        <v>1</v>
      </c>
      <c r="I12">
        <f t="shared" si="1"/>
        <v>0</v>
      </c>
      <c r="J12">
        <f t="shared" si="2"/>
        <v>1</v>
      </c>
      <c r="K12" s="3">
        <f>IF(C12="Sun",1,IF(C12="sat",2,IF(C12="thur",3,4)))</f>
        <v>1</v>
      </c>
    </row>
    <row r="13" spans="1:12" x14ac:dyDescent="0.35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  <c r="H13">
        <f t="shared" si="0"/>
        <v>0</v>
      </c>
      <c r="I13">
        <f t="shared" si="1"/>
        <v>0</v>
      </c>
      <c r="J13">
        <f t="shared" si="2"/>
        <v>1</v>
      </c>
      <c r="K13" s="3">
        <f t="shared" si="3"/>
        <v>1</v>
      </c>
    </row>
    <row r="14" spans="1:12" x14ac:dyDescent="0.35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  <c r="H14">
        <f t="shared" si="0"/>
        <v>1</v>
      </c>
      <c r="I14">
        <f t="shared" si="1"/>
        <v>0</v>
      </c>
      <c r="J14">
        <f t="shared" si="2"/>
        <v>1</v>
      </c>
      <c r="K14" s="3">
        <f t="shared" si="3"/>
        <v>1</v>
      </c>
    </row>
    <row r="15" spans="1:12" x14ac:dyDescent="0.35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  <c r="H15">
        <f t="shared" si="0"/>
        <v>1</v>
      </c>
      <c r="I15">
        <f t="shared" si="1"/>
        <v>0</v>
      </c>
      <c r="J15">
        <f t="shared" si="2"/>
        <v>1</v>
      </c>
      <c r="K15" s="3">
        <f t="shared" si="3"/>
        <v>1</v>
      </c>
    </row>
    <row r="16" spans="1:12" x14ac:dyDescent="0.35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  <c r="H16">
        <f t="shared" si="0"/>
        <v>0</v>
      </c>
      <c r="I16">
        <f t="shared" si="1"/>
        <v>0</v>
      </c>
      <c r="J16">
        <f t="shared" si="2"/>
        <v>1</v>
      </c>
      <c r="K16" s="3">
        <f t="shared" si="3"/>
        <v>1</v>
      </c>
    </row>
    <row r="17" spans="1:11" x14ac:dyDescent="0.35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  <c r="H17">
        <f t="shared" si="0"/>
        <v>1</v>
      </c>
      <c r="I17">
        <f t="shared" si="1"/>
        <v>0</v>
      </c>
      <c r="J17">
        <f t="shared" si="2"/>
        <v>1</v>
      </c>
      <c r="K17" s="3">
        <f t="shared" si="3"/>
        <v>1</v>
      </c>
    </row>
    <row r="18" spans="1:11" x14ac:dyDescent="0.35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  <c r="H18">
        <f t="shared" si="0"/>
        <v>0</v>
      </c>
      <c r="I18">
        <f t="shared" si="1"/>
        <v>0</v>
      </c>
      <c r="J18">
        <f t="shared" si="2"/>
        <v>1</v>
      </c>
      <c r="K18" s="3">
        <f t="shared" si="3"/>
        <v>1</v>
      </c>
    </row>
    <row r="19" spans="1:11" x14ac:dyDescent="0.35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  <c r="H19">
        <f t="shared" si="0"/>
        <v>1</v>
      </c>
      <c r="I19">
        <f t="shared" si="1"/>
        <v>0</v>
      </c>
      <c r="J19">
        <f t="shared" si="2"/>
        <v>1</v>
      </c>
      <c r="K19" s="3">
        <f t="shared" si="3"/>
        <v>1</v>
      </c>
    </row>
    <row r="20" spans="1:11" x14ac:dyDescent="0.35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  <c r="H20">
        <f t="shared" si="0"/>
        <v>0</v>
      </c>
      <c r="I20">
        <f t="shared" si="1"/>
        <v>0</v>
      </c>
      <c r="J20">
        <f t="shared" si="2"/>
        <v>1</v>
      </c>
      <c r="K20" s="3">
        <f t="shared" si="3"/>
        <v>1</v>
      </c>
    </row>
    <row r="21" spans="1:11" x14ac:dyDescent="0.35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  <c r="H21">
        <f t="shared" si="0"/>
        <v>1</v>
      </c>
      <c r="I21">
        <f t="shared" si="1"/>
        <v>0</v>
      </c>
      <c r="J21">
        <f t="shared" si="2"/>
        <v>1</v>
      </c>
      <c r="K21" s="3">
        <f t="shared" si="3"/>
        <v>2</v>
      </c>
    </row>
    <row r="22" spans="1:11" x14ac:dyDescent="0.35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  <c r="H22">
        <f t="shared" si="0"/>
        <v>1</v>
      </c>
      <c r="I22">
        <f t="shared" si="1"/>
        <v>0</v>
      </c>
      <c r="J22">
        <f t="shared" si="2"/>
        <v>1</v>
      </c>
      <c r="K22" s="3">
        <f t="shared" si="3"/>
        <v>2</v>
      </c>
    </row>
    <row r="23" spans="1:11" x14ac:dyDescent="0.35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  <c r="H23">
        <f t="shared" si="0"/>
        <v>0</v>
      </c>
      <c r="I23">
        <f t="shared" si="1"/>
        <v>0</v>
      </c>
      <c r="J23">
        <f t="shared" si="2"/>
        <v>1</v>
      </c>
      <c r="K23" s="4">
        <f t="shared" si="3"/>
        <v>2</v>
      </c>
    </row>
    <row r="24" spans="1:11" x14ac:dyDescent="0.35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  <c r="H24">
        <f t="shared" si="0"/>
        <v>0</v>
      </c>
      <c r="I24">
        <f t="shared" si="1"/>
        <v>0</v>
      </c>
      <c r="J24">
        <f t="shared" si="2"/>
        <v>1</v>
      </c>
      <c r="K24" s="3">
        <f t="shared" si="3"/>
        <v>2</v>
      </c>
    </row>
    <row r="25" spans="1:11" x14ac:dyDescent="0.35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  <c r="H25">
        <f t="shared" si="0"/>
        <v>1</v>
      </c>
      <c r="I25">
        <f t="shared" si="1"/>
        <v>0</v>
      </c>
      <c r="J25">
        <f t="shared" si="2"/>
        <v>1</v>
      </c>
      <c r="K25" s="3">
        <f t="shared" si="3"/>
        <v>2</v>
      </c>
    </row>
    <row r="26" spans="1:11" x14ac:dyDescent="0.35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  <c r="H26">
        <f t="shared" si="0"/>
        <v>1</v>
      </c>
      <c r="I26">
        <f t="shared" si="1"/>
        <v>0</v>
      </c>
      <c r="J26">
        <f t="shared" si="2"/>
        <v>1</v>
      </c>
      <c r="K26" s="3">
        <f t="shared" si="3"/>
        <v>2</v>
      </c>
    </row>
    <row r="27" spans="1:11" x14ac:dyDescent="0.35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  <c r="H27">
        <f t="shared" si="0"/>
        <v>1</v>
      </c>
      <c r="I27">
        <f t="shared" si="1"/>
        <v>0</v>
      </c>
      <c r="J27">
        <f t="shared" si="2"/>
        <v>1</v>
      </c>
      <c r="K27" s="3">
        <f t="shared" si="3"/>
        <v>2</v>
      </c>
    </row>
    <row r="28" spans="1:11" x14ac:dyDescent="0.3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  <c r="H28">
        <f t="shared" si="0"/>
        <v>1</v>
      </c>
      <c r="I28">
        <f t="shared" si="1"/>
        <v>0</v>
      </c>
      <c r="J28">
        <f t="shared" si="2"/>
        <v>1</v>
      </c>
      <c r="K28" s="3">
        <f t="shared" si="3"/>
        <v>2</v>
      </c>
    </row>
    <row r="29" spans="1:11" x14ac:dyDescent="0.3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  <c r="H29">
        <f t="shared" si="0"/>
        <v>1</v>
      </c>
      <c r="I29">
        <f t="shared" si="1"/>
        <v>0</v>
      </c>
      <c r="J29">
        <f t="shared" si="2"/>
        <v>1</v>
      </c>
      <c r="K29" s="3">
        <f t="shared" si="3"/>
        <v>2</v>
      </c>
    </row>
    <row r="30" spans="1:11" x14ac:dyDescent="0.35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  <c r="H30">
        <f t="shared" si="0"/>
        <v>1</v>
      </c>
      <c r="I30">
        <f t="shared" si="1"/>
        <v>0</v>
      </c>
      <c r="J30">
        <f t="shared" si="2"/>
        <v>1</v>
      </c>
      <c r="K30" s="3">
        <f t="shared" si="3"/>
        <v>2</v>
      </c>
    </row>
    <row r="31" spans="1:11" x14ac:dyDescent="0.35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  <c r="H31">
        <f t="shared" si="0"/>
        <v>0</v>
      </c>
      <c r="I31">
        <f t="shared" si="1"/>
        <v>0</v>
      </c>
      <c r="J31">
        <f t="shared" si="2"/>
        <v>1</v>
      </c>
      <c r="K31" s="3">
        <f t="shared" si="3"/>
        <v>2</v>
      </c>
    </row>
    <row r="32" spans="1:11" x14ac:dyDescent="0.35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  <c r="H32">
        <f t="shared" si="0"/>
        <v>1</v>
      </c>
      <c r="I32">
        <f t="shared" si="1"/>
        <v>0</v>
      </c>
      <c r="J32">
        <f t="shared" si="2"/>
        <v>1</v>
      </c>
      <c r="K32" s="3">
        <f t="shared" si="3"/>
        <v>2</v>
      </c>
    </row>
    <row r="33" spans="1:11" x14ac:dyDescent="0.35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  <c r="H33">
        <f t="shared" si="0"/>
        <v>1</v>
      </c>
      <c r="I33">
        <f t="shared" si="1"/>
        <v>0</v>
      </c>
      <c r="J33">
        <f t="shared" si="2"/>
        <v>1</v>
      </c>
      <c r="K33" s="3">
        <f t="shared" si="3"/>
        <v>2</v>
      </c>
    </row>
    <row r="34" spans="1:11" x14ac:dyDescent="0.35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  <c r="H34">
        <f t="shared" si="0"/>
        <v>0</v>
      </c>
      <c r="I34">
        <f t="shared" si="1"/>
        <v>0</v>
      </c>
      <c r="J34">
        <f t="shared" si="2"/>
        <v>1</v>
      </c>
      <c r="K34" s="3">
        <f t="shared" si="3"/>
        <v>2</v>
      </c>
    </row>
    <row r="35" spans="1:11" x14ac:dyDescent="0.35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  <c r="H35">
        <f t="shared" si="0"/>
        <v>0</v>
      </c>
      <c r="I35">
        <f t="shared" si="1"/>
        <v>0</v>
      </c>
      <c r="J35">
        <f t="shared" si="2"/>
        <v>1</v>
      </c>
      <c r="K35" s="3">
        <f t="shared" si="3"/>
        <v>2</v>
      </c>
    </row>
    <row r="36" spans="1:11" x14ac:dyDescent="0.35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  <c r="H36">
        <f t="shared" si="0"/>
        <v>1</v>
      </c>
      <c r="I36">
        <f t="shared" si="1"/>
        <v>0</v>
      </c>
      <c r="J36">
        <f t="shared" si="2"/>
        <v>1</v>
      </c>
      <c r="K36" s="3">
        <f t="shared" si="3"/>
        <v>2</v>
      </c>
    </row>
    <row r="37" spans="1:11" x14ac:dyDescent="0.35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  <c r="H37">
        <f t="shared" si="0"/>
        <v>1</v>
      </c>
      <c r="I37">
        <f t="shared" si="1"/>
        <v>0</v>
      </c>
      <c r="J37">
        <f t="shared" si="2"/>
        <v>1</v>
      </c>
      <c r="K37" s="3">
        <f t="shared" si="3"/>
        <v>2</v>
      </c>
    </row>
    <row r="38" spans="1:11" x14ac:dyDescent="0.35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  <c r="H38">
        <f t="shared" si="0"/>
        <v>1</v>
      </c>
      <c r="I38">
        <f t="shared" si="1"/>
        <v>0</v>
      </c>
      <c r="J38">
        <f t="shared" si="2"/>
        <v>1</v>
      </c>
      <c r="K38" s="3">
        <f t="shared" si="3"/>
        <v>2</v>
      </c>
    </row>
    <row r="39" spans="1:11" x14ac:dyDescent="0.35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  <c r="H39">
        <f t="shared" si="0"/>
        <v>0</v>
      </c>
      <c r="I39">
        <f t="shared" si="1"/>
        <v>0</v>
      </c>
      <c r="J39">
        <f t="shared" si="2"/>
        <v>1</v>
      </c>
      <c r="K39" s="3">
        <f t="shared" si="3"/>
        <v>2</v>
      </c>
    </row>
    <row r="40" spans="1:11" x14ac:dyDescent="0.35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  <c r="H40">
        <f t="shared" si="0"/>
        <v>1</v>
      </c>
      <c r="I40">
        <f t="shared" si="1"/>
        <v>0</v>
      </c>
      <c r="J40">
        <f t="shared" si="2"/>
        <v>1</v>
      </c>
      <c r="K40" s="3">
        <f t="shared" si="3"/>
        <v>2</v>
      </c>
    </row>
    <row r="41" spans="1:11" x14ac:dyDescent="0.35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  <c r="H41">
        <f t="shared" si="0"/>
        <v>1</v>
      </c>
      <c r="I41">
        <f t="shared" si="1"/>
        <v>0</v>
      </c>
      <c r="J41">
        <f t="shared" si="2"/>
        <v>1</v>
      </c>
      <c r="K41" s="3">
        <f t="shared" si="3"/>
        <v>2</v>
      </c>
    </row>
    <row r="42" spans="1:11" x14ac:dyDescent="0.35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  <c r="H42">
        <f t="shared" si="0"/>
        <v>1</v>
      </c>
      <c r="I42">
        <f t="shared" si="1"/>
        <v>0</v>
      </c>
      <c r="J42">
        <f t="shared" si="2"/>
        <v>1</v>
      </c>
      <c r="K42" s="3">
        <f t="shared" si="3"/>
        <v>2</v>
      </c>
    </row>
    <row r="43" spans="1:11" x14ac:dyDescent="0.35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  <c r="H43">
        <f t="shared" si="0"/>
        <v>1</v>
      </c>
      <c r="I43">
        <f t="shared" si="1"/>
        <v>0</v>
      </c>
      <c r="J43">
        <f t="shared" si="2"/>
        <v>1</v>
      </c>
      <c r="K43" s="3">
        <f t="shared" si="3"/>
        <v>1</v>
      </c>
    </row>
    <row r="44" spans="1:11" x14ac:dyDescent="0.35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  <c r="H44">
        <f t="shared" si="0"/>
        <v>1</v>
      </c>
      <c r="I44">
        <f t="shared" si="1"/>
        <v>0</v>
      </c>
      <c r="J44">
        <f t="shared" si="2"/>
        <v>1</v>
      </c>
      <c r="K44" s="3">
        <f t="shared" si="3"/>
        <v>1</v>
      </c>
    </row>
    <row r="45" spans="1:11" x14ac:dyDescent="0.35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  <c r="H45">
        <f t="shared" si="0"/>
        <v>1</v>
      </c>
      <c r="I45">
        <f t="shared" si="1"/>
        <v>0</v>
      </c>
      <c r="J45">
        <f t="shared" si="2"/>
        <v>1</v>
      </c>
      <c r="K45" s="3">
        <f t="shared" si="3"/>
        <v>1</v>
      </c>
    </row>
    <row r="46" spans="1:11" x14ac:dyDescent="0.35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  <c r="H46">
        <f t="shared" si="0"/>
        <v>1</v>
      </c>
      <c r="I46">
        <f t="shared" si="1"/>
        <v>0</v>
      </c>
      <c r="J46">
        <f t="shared" si="2"/>
        <v>1</v>
      </c>
      <c r="K46" s="3">
        <f t="shared" si="3"/>
        <v>1</v>
      </c>
    </row>
    <row r="47" spans="1:11" x14ac:dyDescent="0.35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  <c r="H47">
        <f t="shared" si="0"/>
        <v>1</v>
      </c>
      <c r="I47">
        <f t="shared" si="1"/>
        <v>0</v>
      </c>
      <c r="J47">
        <f t="shared" si="2"/>
        <v>1</v>
      </c>
      <c r="K47" s="3">
        <f t="shared" si="3"/>
        <v>1</v>
      </c>
    </row>
    <row r="48" spans="1:11" x14ac:dyDescent="0.35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  <c r="H48">
        <f t="shared" si="0"/>
        <v>1</v>
      </c>
      <c r="I48">
        <f t="shared" si="1"/>
        <v>0</v>
      </c>
      <c r="J48">
        <f t="shared" si="2"/>
        <v>1</v>
      </c>
      <c r="K48" s="3">
        <f t="shared" si="3"/>
        <v>1</v>
      </c>
    </row>
    <row r="49" spans="1:11" x14ac:dyDescent="0.35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  <c r="H49">
        <f t="shared" si="0"/>
        <v>1</v>
      </c>
      <c r="I49">
        <f t="shared" si="1"/>
        <v>0</v>
      </c>
      <c r="J49">
        <f t="shared" si="2"/>
        <v>1</v>
      </c>
      <c r="K49" s="3">
        <f t="shared" si="3"/>
        <v>1</v>
      </c>
    </row>
    <row r="50" spans="1:11" x14ac:dyDescent="0.35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  <c r="H50">
        <f t="shared" si="0"/>
        <v>1</v>
      </c>
      <c r="I50">
        <f t="shared" si="1"/>
        <v>0</v>
      </c>
      <c r="J50">
        <f t="shared" si="2"/>
        <v>1</v>
      </c>
      <c r="K50" s="3">
        <f t="shared" si="3"/>
        <v>1</v>
      </c>
    </row>
    <row r="51" spans="1:11" x14ac:dyDescent="0.35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  <c r="H51">
        <f t="shared" si="0"/>
        <v>1</v>
      </c>
      <c r="I51">
        <f t="shared" si="1"/>
        <v>0</v>
      </c>
      <c r="J51">
        <f t="shared" si="2"/>
        <v>1</v>
      </c>
      <c r="K51" s="3">
        <f t="shared" si="3"/>
        <v>1</v>
      </c>
    </row>
    <row r="52" spans="1:11" x14ac:dyDescent="0.35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  <c r="H52">
        <f t="shared" si="0"/>
        <v>1</v>
      </c>
      <c r="I52">
        <f t="shared" si="1"/>
        <v>0</v>
      </c>
      <c r="J52">
        <f t="shared" si="2"/>
        <v>1</v>
      </c>
      <c r="K52" s="3">
        <f t="shared" si="3"/>
        <v>1</v>
      </c>
    </row>
    <row r="53" spans="1:11" x14ac:dyDescent="0.35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  <c r="H53">
        <f t="shared" si="0"/>
        <v>0</v>
      </c>
      <c r="I53">
        <f t="shared" si="1"/>
        <v>0</v>
      </c>
      <c r="J53">
        <f t="shared" si="2"/>
        <v>1</v>
      </c>
      <c r="K53" s="3">
        <f t="shared" si="3"/>
        <v>1</v>
      </c>
    </row>
    <row r="54" spans="1:11" x14ac:dyDescent="0.35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  <c r="H54">
        <f t="shared" si="0"/>
        <v>0</v>
      </c>
      <c r="I54">
        <f t="shared" si="1"/>
        <v>0</v>
      </c>
      <c r="J54">
        <f t="shared" si="2"/>
        <v>1</v>
      </c>
      <c r="K54" s="3">
        <f t="shared" si="3"/>
        <v>1</v>
      </c>
    </row>
    <row r="55" spans="1:11" x14ac:dyDescent="0.35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  <c r="H55">
        <f t="shared" si="0"/>
        <v>1</v>
      </c>
      <c r="I55">
        <f t="shared" si="1"/>
        <v>0</v>
      </c>
      <c r="J55">
        <f t="shared" si="2"/>
        <v>1</v>
      </c>
      <c r="K55" s="3">
        <f t="shared" si="3"/>
        <v>1</v>
      </c>
    </row>
    <row r="56" spans="1:11" x14ac:dyDescent="0.35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  <c r="H56">
        <f t="shared" si="0"/>
        <v>1</v>
      </c>
      <c r="I56">
        <f t="shared" si="1"/>
        <v>0</v>
      </c>
      <c r="J56">
        <f t="shared" si="2"/>
        <v>1</v>
      </c>
      <c r="K56" s="3">
        <f t="shared" si="3"/>
        <v>1</v>
      </c>
    </row>
    <row r="57" spans="1:11" x14ac:dyDescent="0.35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  <c r="H57">
        <f t="shared" si="0"/>
        <v>1</v>
      </c>
      <c r="I57">
        <f t="shared" si="1"/>
        <v>0</v>
      </c>
      <c r="J57">
        <f t="shared" si="2"/>
        <v>1</v>
      </c>
      <c r="K57" s="3">
        <f t="shared" si="3"/>
        <v>1</v>
      </c>
    </row>
    <row r="58" spans="1:11" x14ac:dyDescent="0.35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  <c r="H58">
        <f t="shared" si="0"/>
        <v>1</v>
      </c>
      <c r="I58">
        <f t="shared" si="1"/>
        <v>1</v>
      </c>
      <c r="J58">
        <f t="shared" si="2"/>
        <v>1</v>
      </c>
      <c r="K58" s="3">
        <f t="shared" si="3"/>
        <v>2</v>
      </c>
    </row>
    <row r="59" spans="1:11" x14ac:dyDescent="0.35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  <c r="H59">
        <f t="shared" si="0"/>
        <v>0</v>
      </c>
      <c r="I59">
        <f t="shared" si="1"/>
        <v>0</v>
      </c>
      <c r="J59">
        <f t="shared" si="2"/>
        <v>1</v>
      </c>
      <c r="K59" s="3">
        <f t="shared" si="3"/>
        <v>2</v>
      </c>
    </row>
    <row r="60" spans="1:11" x14ac:dyDescent="0.35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  <c r="H60">
        <f t="shared" si="0"/>
        <v>1</v>
      </c>
      <c r="I60">
        <f t="shared" si="1"/>
        <v>1</v>
      </c>
      <c r="J60">
        <f t="shared" si="2"/>
        <v>1</v>
      </c>
      <c r="K60" s="3">
        <f t="shared" si="3"/>
        <v>2</v>
      </c>
    </row>
    <row r="61" spans="1:11" x14ac:dyDescent="0.35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  <c r="H61">
        <f t="shared" si="0"/>
        <v>1</v>
      </c>
      <c r="I61">
        <f t="shared" si="1"/>
        <v>0</v>
      </c>
      <c r="J61">
        <f t="shared" si="2"/>
        <v>1</v>
      </c>
      <c r="K61" s="3">
        <f t="shared" si="3"/>
        <v>2</v>
      </c>
    </row>
    <row r="62" spans="1:11" x14ac:dyDescent="0.35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  <c r="H62">
        <f t="shared" si="0"/>
        <v>1</v>
      </c>
      <c r="I62">
        <f t="shared" si="1"/>
        <v>1</v>
      </c>
      <c r="J62">
        <f t="shared" si="2"/>
        <v>1</v>
      </c>
      <c r="K62" s="3">
        <f t="shared" si="3"/>
        <v>2</v>
      </c>
    </row>
    <row r="63" spans="1:11" x14ac:dyDescent="0.35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  <c r="H63">
        <f t="shared" si="0"/>
        <v>1</v>
      </c>
      <c r="I63">
        <f t="shared" si="1"/>
        <v>1</v>
      </c>
      <c r="J63">
        <f t="shared" si="2"/>
        <v>1</v>
      </c>
      <c r="K63" s="3">
        <f t="shared" si="3"/>
        <v>2</v>
      </c>
    </row>
    <row r="64" spans="1:11" x14ac:dyDescent="0.35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  <c r="H64">
        <f t="shared" si="0"/>
        <v>1</v>
      </c>
      <c r="I64">
        <f t="shared" si="1"/>
        <v>1</v>
      </c>
      <c r="J64">
        <f t="shared" si="2"/>
        <v>1</v>
      </c>
      <c r="K64" s="3">
        <f t="shared" si="3"/>
        <v>2</v>
      </c>
    </row>
    <row r="65" spans="1:11" x14ac:dyDescent="0.35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  <c r="H65">
        <f t="shared" si="0"/>
        <v>1</v>
      </c>
      <c r="I65">
        <f t="shared" si="1"/>
        <v>1</v>
      </c>
      <c r="J65">
        <f t="shared" si="2"/>
        <v>1</v>
      </c>
      <c r="K65" s="3">
        <f t="shared" si="3"/>
        <v>2</v>
      </c>
    </row>
    <row r="66" spans="1:11" x14ac:dyDescent="0.35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  <c r="H66">
        <f t="shared" ref="H66:H129" si="4">IF(A66="male",1,0)</f>
        <v>1</v>
      </c>
      <c r="I66">
        <f t="shared" ref="I66:I129" si="5">IF(B66="yes",1,0)</f>
        <v>0</v>
      </c>
      <c r="J66">
        <f t="shared" ref="J66:J129" si="6">IF(D66="Dinner",1,0)</f>
        <v>1</v>
      </c>
      <c r="K66" s="3">
        <f t="shared" ref="K66:K129" si="7">IF(C66="Sun",1,IF(C66="sat",2,IF(C66="thur",3,4)))</f>
        <v>2</v>
      </c>
    </row>
    <row r="67" spans="1:11" x14ac:dyDescent="0.35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  <c r="H67">
        <f t="shared" si="4"/>
        <v>1</v>
      </c>
      <c r="I67">
        <f t="shared" si="5"/>
        <v>0</v>
      </c>
      <c r="J67">
        <f t="shared" si="6"/>
        <v>1</v>
      </c>
      <c r="K67" s="3">
        <f t="shared" si="7"/>
        <v>2</v>
      </c>
    </row>
    <row r="68" spans="1:11" x14ac:dyDescent="0.35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  <c r="H68">
        <f t="shared" si="4"/>
        <v>0</v>
      </c>
      <c r="I68">
        <f t="shared" si="5"/>
        <v>0</v>
      </c>
      <c r="J68">
        <f t="shared" si="6"/>
        <v>1</v>
      </c>
      <c r="K68" s="3">
        <f t="shared" si="7"/>
        <v>2</v>
      </c>
    </row>
    <row r="69" spans="1:11" x14ac:dyDescent="0.35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  <c r="H69">
        <f t="shared" si="4"/>
        <v>0</v>
      </c>
      <c r="I69">
        <f t="shared" si="5"/>
        <v>1</v>
      </c>
      <c r="J69">
        <f t="shared" si="6"/>
        <v>1</v>
      </c>
      <c r="K69" s="3">
        <f t="shared" si="7"/>
        <v>2</v>
      </c>
    </row>
    <row r="70" spans="1:11" x14ac:dyDescent="0.35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  <c r="H70">
        <f t="shared" si="4"/>
        <v>1</v>
      </c>
      <c r="I70">
        <f t="shared" si="5"/>
        <v>0</v>
      </c>
      <c r="J70">
        <f t="shared" si="6"/>
        <v>1</v>
      </c>
      <c r="K70" s="3">
        <f t="shared" si="7"/>
        <v>2</v>
      </c>
    </row>
    <row r="71" spans="1:11" x14ac:dyDescent="0.35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  <c r="H71">
        <f t="shared" si="4"/>
        <v>1</v>
      </c>
      <c r="I71">
        <f t="shared" si="5"/>
        <v>1</v>
      </c>
      <c r="J71">
        <f t="shared" si="6"/>
        <v>1</v>
      </c>
      <c r="K71" s="3">
        <f t="shared" si="7"/>
        <v>2</v>
      </c>
    </row>
    <row r="72" spans="1:11" x14ac:dyDescent="0.35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  <c r="H72">
        <f t="shared" si="4"/>
        <v>1</v>
      </c>
      <c r="I72">
        <f t="shared" si="5"/>
        <v>0</v>
      </c>
      <c r="J72">
        <f t="shared" si="6"/>
        <v>1</v>
      </c>
      <c r="K72" s="3">
        <f t="shared" si="7"/>
        <v>2</v>
      </c>
    </row>
    <row r="73" spans="1:11" x14ac:dyDescent="0.35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  <c r="H73">
        <f t="shared" si="4"/>
        <v>0</v>
      </c>
      <c r="I73">
        <f t="shared" si="5"/>
        <v>0</v>
      </c>
      <c r="J73">
        <f t="shared" si="6"/>
        <v>1</v>
      </c>
      <c r="K73" s="3">
        <f t="shared" si="7"/>
        <v>2</v>
      </c>
    </row>
    <row r="74" spans="1:11" x14ac:dyDescent="0.35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  <c r="H74">
        <f t="shared" si="4"/>
        <v>0</v>
      </c>
      <c r="I74">
        <f t="shared" si="5"/>
        <v>1</v>
      </c>
      <c r="J74">
        <f t="shared" si="6"/>
        <v>1</v>
      </c>
      <c r="K74" s="3">
        <f t="shared" si="7"/>
        <v>2</v>
      </c>
    </row>
    <row r="75" spans="1:11" x14ac:dyDescent="0.35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  <c r="H75">
        <f t="shared" si="4"/>
        <v>0</v>
      </c>
      <c r="I75">
        <f t="shared" si="5"/>
        <v>1</v>
      </c>
      <c r="J75">
        <f t="shared" si="6"/>
        <v>1</v>
      </c>
      <c r="K75" s="3">
        <f t="shared" si="7"/>
        <v>2</v>
      </c>
    </row>
    <row r="76" spans="1:11" x14ac:dyDescent="0.35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  <c r="H76">
        <f t="shared" si="4"/>
        <v>0</v>
      </c>
      <c r="I76">
        <f t="shared" si="5"/>
        <v>0</v>
      </c>
      <c r="J76">
        <f t="shared" si="6"/>
        <v>1</v>
      </c>
      <c r="K76" s="3">
        <f t="shared" si="7"/>
        <v>2</v>
      </c>
    </row>
    <row r="77" spans="1:11" x14ac:dyDescent="0.35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  <c r="H77">
        <f t="shared" si="4"/>
        <v>1</v>
      </c>
      <c r="I77">
        <f t="shared" si="5"/>
        <v>0</v>
      </c>
      <c r="J77">
        <f t="shared" si="6"/>
        <v>1</v>
      </c>
      <c r="K77" s="3">
        <f t="shared" si="7"/>
        <v>2</v>
      </c>
    </row>
    <row r="78" spans="1:11" x14ac:dyDescent="0.35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  <c r="H78">
        <f t="shared" si="4"/>
        <v>1</v>
      </c>
      <c r="I78">
        <f t="shared" si="5"/>
        <v>1</v>
      </c>
      <c r="J78">
        <f t="shared" si="6"/>
        <v>1</v>
      </c>
      <c r="K78" s="3">
        <f t="shared" si="7"/>
        <v>2</v>
      </c>
    </row>
    <row r="79" spans="1:11" x14ac:dyDescent="0.35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  <c r="H79">
        <f t="shared" si="4"/>
        <v>1</v>
      </c>
      <c r="I79">
        <f t="shared" si="5"/>
        <v>0</v>
      </c>
      <c r="J79">
        <f t="shared" si="6"/>
        <v>0</v>
      </c>
      <c r="K79" s="3">
        <f t="shared" si="7"/>
        <v>3</v>
      </c>
    </row>
    <row r="80" spans="1:11" x14ac:dyDescent="0.35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  <c r="H80">
        <f t="shared" si="4"/>
        <v>1</v>
      </c>
      <c r="I80">
        <f t="shared" si="5"/>
        <v>0</v>
      </c>
      <c r="J80">
        <f t="shared" si="6"/>
        <v>0</v>
      </c>
      <c r="K80" s="3">
        <f t="shared" si="7"/>
        <v>3</v>
      </c>
    </row>
    <row r="81" spans="1:11" x14ac:dyDescent="0.35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  <c r="H81">
        <f t="shared" si="4"/>
        <v>1</v>
      </c>
      <c r="I81">
        <f t="shared" si="5"/>
        <v>0</v>
      </c>
      <c r="J81">
        <f t="shared" si="6"/>
        <v>0</v>
      </c>
      <c r="K81" s="3">
        <f t="shared" si="7"/>
        <v>3</v>
      </c>
    </row>
    <row r="82" spans="1:11" x14ac:dyDescent="0.35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  <c r="H82">
        <f t="shared" si="4"/>
        <v>1</v>
      </c>
      <c r="I82">
        <f t="shared" si="5"/>
        <v>1</v>
      </c>
      <c r="J82">
        <f t="shared" si="6"/>
        <v>0</v>
      </c>
      <c r="K82" s="3">
        <f t="shared" si="7"/>
        <v>3</v>
      </c>
    </row>
    <row r="83" spans="1:11" x14ac:dyDescent="0.35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  <c r="H83">
        <f t="shared" si="4"/>
        <v>1</v>
      </c>
      <c r="I83">
        <f t="shared" si="5"/>
        <v>0</v>
      </c>
      <c r="J83">
        <f t="shared" si="6"/>
        <v>0</v>
      </c>
      <c r="K83" s="3">
        <f t="shared" si="7"/>
        <v>3</v>
      </c>
    </row>
    <row r="84" spans="1:11" x14ac:dyDescent="0.35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  <c r="H84">
        <f t="shared" si="4"/>
        <v>0</v>
      </c>
      <c r="I84">
        <f t="shared" si="5"/>
        <v>0</v>
      </c>
      <c r="J84">
        <f t="shared" si="6"/>
        <v>0</v>
      </c>
      <c r="K84" s="3">
        <f t="shared" si="7"/>
        <v>3</v>
      </c>
    </row>
    <row r="85" spans="1:11" x14ac:dyDescent="0.35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  <c r="H85">
        <f t="shared" si="4"/>
        <v>1</v>
      </c>
      <c r="I85">
        <f t="shared" si="5"/>
        <v>1</v>
      </c>
      <c r="J85">
        <f t="shared" si="6"/>
        <v>0</v>
      </c>
      <c r="K85" s="3">
        <f t="shared" si="7"/>
        <v>3</v>
      </c>
    </row>
    <row r="86" spans="1:11" x14ac:dyDescent="0.35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  <c r="H86">
        <f t="shared" si="4"/>
        <v>1</v>
      </c>
      <c r="I86">
        <f t="shared" si="5"/>
        <v>0</v>
      </c>
      <c r="J86">
        <f t="shared" si="6"/>
        <v>0</v>
      </c>
      <c r="K86" s="3">
        <f t="shared" si="7"/>
        <v>3</v>
      </c>
    </row>
    <row r="87" spans="1:11" x14ac:dyDescent="0.35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  <c r="H87">
        <f t="shared" si="4"/>
        <v>0</v>
      </c>
      <c r="I87">
        <f t="shared" si="5"/>
        <v>0</v>
      </c>
      <c r="J87">
        <f t="shared" si="6"/>
        <v>0</v>
      </c>
      <c r="K87" s="3">
        <f t="shared" si="7"/>
        <v>3</v>
      </c>
    </row>
    <row r="88" spans="1:11" x14ac:dyDescent="0.35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  <c r="H88">
        <f t="shared" si="4"/>
        <v>1</v>
      </c>
      <c r="I88">
        <f t="shared" si="5"/>
        <v>0</v>
      </c>
      <c r="J88">
        <f t="shared" si="6"/>
        <v>0</v>
      </c>
      <c r="K88" s="3">
        <f t="shared" si="7"/>
        <v>3</v>
      </c>
    </row>
    <row r="89" spans="1:11" x14ac:dyDescent="0.35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  <c r="H89">
        <f t="shared" si="4"/>
        <v>1</v>
      </c>
      <c r="I89">
        <f t="shared" si="5"/>
        <v>0</v>
      </c>
      <c r="J89">
        <f t="shared" si="6"/>
        <v>0</v>
      </c>
      <c r="K89" s="3">
        <f t="shared" si="7"/>
        <v>3</v>
      </c>
    </row>
    <row r="90" spans="1:11" x14ac:dyDescent="0.35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  <c r="H90">
        <f t="shared" si="4"/>
        <v>1</v>
      </c>
      <c r="I90">
        <f t="shared" si="5"/>
        <v>0</v>
      </c>
      <c r="J90">
        <f t="shared" si="6"/>
        <v>0</v>
      </c>
      <c r="K90" s="3">
        <f t="shared" si="7"/>
        <v>3</v>
      </c>
    </row>
    <row r="91" spans="1:11" x14ac:dyDescent="0.35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  <c r="H91">
        <f t="shared" si="4"/>
        <v>1</v>
      </c>
      <c r="I91">
        <f t="shared" si="5"/>
        <v>0</v>
      </c>
      <c r="J91">
        <f t="shared" si="6"/>
        <v>0</v>
      </c>
      <c r="K91" s="3">
        <f t="shared" si="7"/>
        <v>3</v>
      </c>
    </row>
    <row r="92" spans="1:11" x14ac:dyDescent="0.35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  <c r="H92">
        <f t="shared" si="4"/>
        <v>1</v>
      </c>
      <c r="I92">
        <f t="shared" si="5"/>
        <v>1</v>
      </c>
      <c r="J92">
        <f t="shared" si="6"/>
        <v>1</v>
      </c>
      <c r="K92" s="3">
        <f t="shared" si="7"/>
        <v>4</v>
      </c>
    </row>
    <row r="93" spans="1:11" x14ac:dyDescent="0.35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  <c r="H93">
        <f t="shared" si="4"/>
        <v>1</v>
      </c>
      <c r="I93">
        <f t="shared" si="5"/>
        <v>0</v>
      </c>
      <c r="J93">
        <f t="shared" si="6"/>
        <v>1</v>
      </c>
      <c r="K93" s="3">
        <f t="shared" si="7"/>
        <v>4</v>
      </c>
    </row>
    <row r="94" spans="1:11" x14ac:dyDescent="0.35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  <c r="H94">
        <f t="shared" si="4"/>
        <v>0</v>
      </c>
      <c r="I94">
        <f t="shared" si="5"/>
        <v>1</v>
      </c>
      <c r="J94">
        <f t="shared" si="6"/>
        <v>1</v>
      </c>
      <c r="K94" s="3">
        <f t="shared" si="7"/>
        <v>4</v>
      </c>
    </row>
    <row r="95" spans="1:11" x14ac:dyDescent="0.35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  <c r="H95">
        <f t="shared" si="4"/>
        <v>0</v>
      </c>
      <c r="I95">
        <f t="shared" si="5"/>
        <v>1</v>
      </c>
      <c r="J95">
        <f t="shared" si="6"/>
        <v>1</v>
      </c>
      <c r="K95" s="3">
        <f t="shared" si="7"/>
        <v>4</v>
      </c>
    </row>
    <row r="96" spans="1:11" x14ac:dyDescent="0.35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  <c r="H96">
        <f t="shared" si="4"/>
        <v>0</v>
      </c>
      <c r="I96">
        <f t="shared" si="5"/>
        <v>0</v>
      </c>
      <c r="J96">
        <f t="shared" si="6"/>
        <v>1</v>
      </c>
      <c r="K96" s="3">
        <f t="shared" si="7"/>
        <v>4</v>
      </c>
    </row>
    <row r="97" spans="1:11" x14ac:dyDescent="0.35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  <c r="H97">
        <f t="shared" si="4"/>
        <v>1</v>
      </c>
      <c r="I97">
        <f t="shared" si="5"/>
        <v>1</v>
      </c>
      <c r="J97">
        <f t="shared" si="6"/>
        <v>1</v>
      </c>
      <c r="K97" s="3">
        <f t="shared" si="7"/>
        <v>4</v>
      </c>
    </row>
    <row r="98" spans="1:11" x14ac:dyDescent="0.35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  <c r="H98">
        <f t="shared" si="4"/>
        <v>1</v>
      </c>
      <c r="I98">
        <f t="shared" si="5"/>
        <v>1</v>
      </c>
      <c r="J98">
        <f t="shared" si="6"/>
        <v>1</v>
      </c>
      <c r="K98" s="3">
        <f t="shared" si="7"/>
        <v>4</v>
      </c>
    </row>
    <row r="99" spans="1:11" x14ac:dyDescent="0.35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  <c r="H99">
        <f t="shared" si="4"/>
        <v>1</v>
      </c>
      <c r="I99">
        <f t="shared" si="5"/>
        <v>1</v>
      </c>
      <c r="J99">
        <f t="shared" si="6"/>
        <v>1</v>
      </c>
      <c r="K99" s="3">
        <f t="shared" si="7"/>
        <v>4</v>
      </c>
    </row>
    <row r="100" spans="1:11" x14ac:dyDescent="0.35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  <c r="H100">
        <f t="shared" si="4"/>
        <v>1</v>
      </c>
      <c r="I100">
        <f t="shared" si="5"/>
        <v>1</v>
      </c>
      <c r="J100">
        <f t="shared" si="6"/>
        <v>1</v>
      </c>
      <c r="K100" s="3">
        <f t="shared" si="7"/>
        <v>4</v>
      </c>
    </row>
    <row r="101" spans="1:11" x14ac:dyDescent="0.35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  <c r="H101">
        <f t="shared" si="4"/>
        <v>1</v>
      </c>
      <c r="I101">
        <f t="shared" si="5"/>
        <v>0</v>
      </c>
      <c r="J101">
        <f t="shared" si="6"/>
        <v>1</v>
      </c>
      <c r="K101" s="3">
        <f t="shared" si="7"/>
        <v>4</v>
      </c>
    </row>
    <row r="102" spans="1:11" x14ac:dyDescent="0.35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  <c r="H102">
        <f t="shared" si="4"/>
        <v>0</v>
      </c>
      <c r="I102">
        <f t="shared" si="5"/>
        <v>1</v>
      </c>
      <c r="J102">
        <f t="shared" si="6"/>
        <v>1</v>
      </c>
      <c r="K102" s="3">
        <f t="shared" si="7"/>
        <v>4</v>
      </c>
    </row>
    <row r="103" spans="1:11" x14ac:dyDescent="0.35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  <c r="H103">
        <f t="shared" si="4"/>
        <v>0</v>
      </c>
      <c r="I103">
        <f t="shared" si="5"/>
        <v>1</v>
      </c>
      <c r="J103">
        <f t="shared" si="6"/>
        <v>1</v>
      </c>
      <c r="K103" s="3">
        <f t="shared" si="7"/>
        <v>4</v>
      </c>
    </row>
    <row r="104" spans="1:11" x14ac:dyDescent="0.35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  <c r="H104">
        <f t="shared" si="4"/>
        <v>0</v>
      </c>
      <c r="I104">
        <f t="shared" si="5"/>
        <v>1</v>
      </c>
      <c r="J104">
        <f t="shared" si="6"/>
        <v>1</v>
      </c>
      <c r="K104" s="3">
        <f t="shared" si="7"/>
        <v>2</v>
      </c>
    </row>
    <row r="105" spans="1:11" x14ac:dyDescent="0.35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  <c r="H105">
        <f t="shared" si="4"/>
        <v>0</v>
      </c>
      <c r="I105">
        <f t="shared" si="5"/>
        <v>1</v>
      </c>
      <c r="J105">
        <f t="shared" si="6"/>
        <v>1</v>
      </c>
      <c r="K105" s="3">
        <f t="shared" si="7"/>
        <v>2</v>
      </c>
    </row>
    <row r="106" spans="1:11" x14ac:dyDescent="0.35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  <c r="H106">
        <f t="shared" si="4"/>
        <v>0</v>
      </c>
      <c r="I106">
        <f t="shared" si="5"/>
        <v>0</v>
      </c>
      <c r="J106">
        <f t="shared" si="6"/>
        <v>1</v>
      </c>
      <c r="K106" s="3">
        <f t="shared" si="7"/>
        <v>2</v>
      </c>
    </row>
    <row r="107" spans="1:11" x14ac:dyDescent="0.35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  <c r="H107">
        <f t="shared" si="4"/>
        <v>1</v>
      </c>
      <c r="I107">
        <f t="shared" si="5"/>
        <v>1</v>
      </c>
      <c r="J107">
        <f t="shared" si="6"/>
        <v>1</v>
      </c>
      <c r="K107" s="3">
        <f t="shared" si="7"/>
        <v>2</v>
      </c>
    </row>
    <row r="108" spans="1:11" x14ac:dyDescent="0.35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  <c r="H108">
        <f t="shared" si="4"/>
        <v>1</v>
      </c>
      <c r="I108">
        <f t="shared" si="5"/>
        <v>1</v>
      </c>
      <c r="J108">
        <f t="shared" si="6"/>
        <v>1</v>
      </c>
      <c r="K108" s="3">
        <f t="shared" si="7"/>
        <v>2</v>
      </c>
    </row>
    <row r="109" spans="1:11" x14ac:dyDescent="0.35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  <c r="H109">
        <f t="shared" si="4"/>
        <v>1</v>
      </c>
      <c r="I109">
        <f t="shared" si="5"/>
        <v>1</v>
      </c>
      <c r="J109">
        <f t="shared" si="6"/>
        <v>1</v>
      </c>
      <c r="K109" s="3">
        <f t="shared" si="7"/>
        <v>2</v>
      </c>
    </row>
    <row r="110" spans="1:11" x14ac:dyDescent="0.35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  <c r="H110">
        <f t="shared" si="4"/>
        <v>1</v>
      </c>
      <c r="I110">
        <f t="shared" si="5"/>
        <v>0</v>
      </c>
      <c r="J110">
        <f t="shared" si="6"/>
        <v>1</v>
      </c>
      <c r="K110" s="3">
        <f t="shared" si="7"/>
        <v>2</v>
      </c>
    </row>
    <row r="111" spans="1:11" x14ac:dyDescent="0.35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  <c r="H111">
        <f t="shared" si="4"/>
        <v>0</v>
      </c>
      <c r="I111">
        <f t="shared" si="5"/>
        <v>1</v>
      </c>
      <c r="J111">
        <f t="shared" si="6"/>
        <v>1</v>
      </c>
      <c r="K111" s="3">
        <f t="shared" si="7"/>
        <v>2</v>
      </c>
    </row>
    <row r="112" spans="1:11" x14ac:dyDescent="0.35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  <c r="H112">
        <f t="shared" si="4"/>
        <v>1</v>
      </c>
      <c r="I112">
        <f t="shared" si="5"/>
        <v>0</v>
      </c>
      <c r="J112">
        <f t="shared" si="6"/>
        <v>1</v>
      </c>
      <c r="K112" s="3">
        <f t="shared" si="7"/>
        <v>2</v>
      </c>
    </row>
    <row r="113" spans="1:11" x14ac:dyDescent="0.35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  <c r="H113">
        <f t="shared" si="4"/>
        <v>0</v>
      </c>
      <c r="I113">
        <f t="shared" si="5"/>
        <v>0</v>
      </c>
      <c r="J113">
        <f t="shared" si="6"/>
        <v>1</v>
      </c>
      <c r="K113" s="3">
        <f t="shared" si="7"/>
        <v>2</v>
      </c>
    </row>
    <row r="114" spans="1:11" x14ac:dyDescent="0.35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  <c r="H114">
        <f t="shared" si="4"/>
        <v>1</v>
      </c>
      <c r="I114">
        <f t="shared" si="5"/>
        <v>0</v>
      </c>
      <c r="J114">
        <f t="shared" si="6"/>
        <v>1</v>
      </c>
      <c r="K114" s="3">
        <f t="shared" si="7"/>
        <v>1</v>
      </c>
    </row>
    <row r="115" spans="1:11" x14ac:dyDescent="0.35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  <c r="H115">
        <f t="shared" si="4"/>
        <v>1</v>
      </c>
      <c r="I115">
        <f t="shared" si="5"/>
        <v>0</v>
      </c>
      <c r="J115">
        <f t="shared" si="6"/>
        <v>1</v>
      </c>
      <c r="K115" s="3">
        <f t="shared" si="7"/>
        <v>1</v>
      </c>
    </row>
    <row r="116" spans="1:11" x14ac:dyDescent="0.35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  <c r="H116">
        <f t="shared" si="4"/>
        <v>0</v>
      </c>
      <c r="I116">
        <f t="shared" si="5"/>
        <v>0</v>
      </c>
      <c r="J116">
        <f t="shared" si="6"/>
        <v>1</v>
      </c>
      <c r="K116" s="3">
        <f t="shared" si="7"/>
        <v>1</v>
      </c>
    </row>
    <row r="117" spans="1:11" x14ac:dyDescent="0.35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  <c r="H117">
        <f t="shared" si="4"/>
        <v>0</v>
      </c>
      <c r="I117">
        <f t="shared" si="5"/>
        <v>0</v>
      </c>
      <c r="J117">
        <f t="shared" si="6"/>
        <v>1</v>
      </c>
      <c r="K117" s="3">
        <f t="shared" si="7"/>
        <v>1</v>
      </c>
    </row>
    <row r="118" spans="1:11" x14ac:dyDescent="0.35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  <c r="H118">
        <f t="shared" si="4"/>
        <v>1</v>
      </c>
      <c r="I118">
        <f t="shared" si="5"/>
        <v>0</v>
      </c>
      <c r="J118">
        <f t="shared" si="6"/>
        <v>1</v>
      </c>
      <c r="K118" s="3">
        <f t="shared" si="7"/>
        <v>1</v>
      </c>
    </row>
    <row r="119" spans="1:11" x14ac:dyDescent="0.35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  <c r="H119">
        <f t="shared" si="4"/>
        <v>0</v>
      </c>
      <c r="I119">
        <f t="shared" si="5"/>
        <v>0</v>
      </c>
      <c r="J119">
        <f t="shared" si="6"/>
        <v>0</v>
      </c>
      <c r="K119" s="3">
        <f t="shared" si="7"/>
        <v>3</v>
      </c>
    </row>
    <row r="120" spans="1:11" x14ac:dyDescent="0.35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  <c r="H120">
        <f t="shared" si="4"/>
        <v>0</v>
      </c>
      <c r="I120">
        <f t="shared" si="5"/>
        <v>0</v>
      </c>
      <c r="J120">
        <f t="shared" si="6"/>
        <v>0</v>
      </c>
      <c r="K120" s="3">
        <f t="shared" si="7"/>
        <v>3</v>
      </c>
    </row>
    <row r="121" spans="1:11" x14ac:dyDescent="0.35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  <c r="H121">
        <f t="shared" si="4"/>
        <v>0</v>
      </c>
      <c r="I121">
        <f t="shared" si="5"/>
        <v>0</v>
      </c>
      <c r="J121">
        <f t="shared" si="6"/>
        <v>0</v>
      </c>
      <c r="K121" s="3">
        <f t="shared" si="7"/>
        <v>3</v>
      </c>
    </row>
    <row r="122" spans="1:11" x14ac:dyDescent="0.35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  <c r="H122">
        <f t="shared" si="4"/>
        <v>1</v>
      </c>
      <c r="I122">
        <f t="shared" si="5"/>
        <v>0</v>
      </c>
      <c r="J122">
        <f t="shared" si="6"/>
        <v>0</v>
      </c>
      <c r="K122" s="3">
        <f t="shared" si="7"/>
        <v>3</v>
      </c>
    </row>
    <row r="123" spans="1:11" x14ac:dyDescent="0.35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  <c r="H123">
        <f t="shared" si="4"/>
        <v>0</v>
      </c>
      <c r="I123">
        <f t="shared" si="5"/>
        <v>0</v>
      </c>
      <c r="J123">
        <f t="shared" si="6"/>
        <v>0</v>
      </c>
      <c r="K123" s="3">
        <f t="shared" si="7"/>
        <v>3</v>
      </c>
    </row>
    <row r="124" spans="1:11" x14ac:dyDescent="0.35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  <c r="H124">
        <f t="shared" si="4"/>
        <v>1</v>
      </c>
      <c r="I124">
        <f t="shared" si="5"/>
        <v>0</v>
      </c>
      <c r="J124">
        <f t="shared" si="6"/>
        <v>0</v>
      </c>
      <c r="K124" s="3">
        <f t="shared" si="7"/>
        <v>3</v>
      </c>
    </row>
    <row r="125" spans="1:11" x14ac:dyDescent="0.35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  <c r="H125">
        <f t="shared" si="4"/>
        <v>1</v>
      </c>
      <c r="I125">
        <f t="shared" si="5"/>
        <v>0</v>
      </c>
      <c r="J125">
        <f t="shared" si="6"/>
        <v>0</v>
      </c>
      <c r="K125" s="3">
        <f t="shared" si="7"/>
        <v>3</v>
      </c>
    </row>
    <row r="126" spans="1:11" x14ac:dyDescent="0.35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  <c r="H126">
        <f t="shared" si="4"/>
        <v>0</v>
      </c>
      <c r="I126">
        <f t="shared" si="5"/>
        <v>0</v>
      </c>
      <c r="J126">
        <f t="shared" si="6"/>
        <v>0</v>
      </c>
      <c r="K126" s="3">
        <f t="shared" si="7"/>
        <v>3</v>
      </c>
    </row>
    <row r="127" spans="1:11" x14ac:dyDescent="0.35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  <c r="H127">
        <f t="shared" si="4"/>
        <v>0</v>
      </c>
      <c r="I127">
        <f t="shared" si="5"/>
        <v>0</v>
      </c>
      <c r="J127">
        <f t="shared" si="6"/>
        <v>0</v>
      </c>
      <c r="K127" s="3">
        <f t="shared" si="7"/>
        <v>3</v>
      </c>
    </row>
    <row r="128" spans="1:11" x14ac:dyDescent="0.35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  <c r="H128">
        <f t="shared" si="4"/>
        <v>1</v>
      </c>
      <c r="I128">
        <f t="shared" si="5"/>
        <v>0</v>
      </c>
      <c r="J128">
        <f t="shared" si="6"/>
        <v>0</v>
      </c>
      <c r="K128" s="3">
        <f t="shared" si="7"/>
        <v>3</v>
      </c>
    </row>
    <row r="129" spans="1:11" x14ac:dyDescent="0.35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  <c r="H129">
        <f t="shared" si="4"/>
        <v>0</v>
      </c>
      <c r="I129">
        <f t="shared" si="5"/>
        <v>0</v>
      </c>
      <c r="J129">
        <f t="shared" si="6"/>
        <v>0</v>
      </c>
      <c r="K129" s="3">
        <f t="shared" si="7"/>
        <v>3</v>
      </c>
    </row>
    <row r="130" spans="1:11" x14ac:dyDescent="0.35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  <c r="H130">
        <f t="shared" ref="H130:H193" si="8">IF(A130="male",1,0)</f>
        <v>0</v>
      </c>
      <c r="I130">
        <f t="shared" ref="I130:I193" si="9">IF(B130="yes",1,0)</f>
        <v>0</v>
      </c>
      <c r="J130">
        <f t="shared" ref="J130:J193" si="10">IF(D130="Dinner",1,0)</f>
        <v>0</v>
      </c>
      <c r="K130" s="3">
        <f t="shared" ref="K130:K193" si="11">IF(C130="Sun",1,IF(C130="sat",2,IF(C130="thur",3,4)))</f>
        <v>3</v>
      </c>
    </row>
    <row r="131" spans="1:11" x14ac:dyDescent="0.35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  <c r="H131">
        <f t="shared" si="8"/>
        <v>1</v>
      </c>
      <c r="I131">
        <f t="shared" si="9"/>
        <v>0</v>
      </c>
      <c r="J131">
        <f t="shared" si="10"/>
        <v>0</v>
      </c>
      <c r="K131" s="3">
        <f t="shared" si="11"/>
        <v>3</v>
      </c>
    </row>
    <row r="132" spans="1:11" x14ac:dyDescent="0.35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  <c r="H132">
        <f t="shared" si="8"/>
        <v>1</v>
      </c>
      <c r="I132">
        <f t="shared" si="9"/>
        <v>0</v>
      </c>
      <c r="J132">
        <f t="shared" si="10"/>
        <v>0</v>
      </c>
      <c r="K132" s="3">
        <f t="shared" si="11"/>
        <v>3</v>
      </c>
    </row>
    <row r="133" spans="1:11" x14ac:dyDescent="0.35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  <c r="H133">
        <f t="shared" si="8"/>
        <v>0</v>
      </c>
      <c r="I133">
        <f t="shared" si="9"/>
        <v>0</v>
      </c>
      <c r="J133">
        <f t="shared" si="10"/>
        <v>0</v>
      </c>
      <c r="K133" s="3">
        <f t="shared" si="11"/>
        <v>3</v>
      </c>
    </row>
    <row r="134" spans="1:11" x14ac:dyDescent="0.35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  <c r="H134">
        <f t="shared" si="8"/>
        <v>0</v>
      </c>
      <c r="I134">
        <f t="shared" si="9"/>
        <v>0</v>
      </c>
      <c r="J134">
        <f t="shared" si="10"/>
        <v>0</v>
      </c>
      <c r="K134" s="3">
        <f t="shared" si="11"/>
        <v>3</v>
      </c>
    </row>
    <row r="135" spans="1:11" x14ac:dyDescent="0.35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  <c r="H135">
        <f t="shared" si="8"/>
        <v>0</v>
      </c>
      <c r="I135">
        <f t="shared" si="9"/>
        <v>0</v>
      </c>
      <c r="J135">
        <f t="shared" si="10"/>
        <v>0</v>
      </c>
      <c r="K135" s="3">
        <f t="shared" si="11"/>
        <v>3</v>
      </c>
    </row>
    <row r="136" spans="1:11" x14ac:dyDescent="0.35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  <c r="H136">
        <f t="shared" si="8"/>
        <v>0</v>
      </c>
      <c r="I136">
        <f t="shared" si="9"/>
        <v>0</v>
      </c>
      <c r="J136">
        <f t="shared" si="10"/>
        <v>0</v>
      </c>
      <c r="K136" s="3">
        <f t="shared" si="11"/>
        <v>3</v>
      </c>
    </row>
    <row r="137" spans="1:11" x14ac:dyDescent="0.35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  <c r="H137">
        <f t="shared" si="8"/>
        <v>0</v>
      </c>
      <c r="I137">
        <f t="shared" si="9"/>
        <v>0</v>
      </c>
      <c r="J137">
        <f t="shared" si="10"/>
        <v>0</v>
      </c>
      <c r="K137" s="3">
        <f t="shared" si="11"/>
        <v>3</v>
      </c>
    </row>
    <row r="138" spans="1:11" x14ac:dyDescent="0.35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  <c r="H138">
        <f t="shared" si="8"/>
        <v>0</v>
      </c>
      <c r="I138">
        <f t="shared" si="9"/>
        <v>0</v>
      </c>
      <c r="J138">
        <f t="shared" si="10"/>
        <v>0</v>
      </c>
      <c r="K138" s="3">
        <f t="shared" si="11"/>
        <v>3</v>
      </c>
    </row>
    <row r="139" spans="1:11" x14ac:dyDescent="0.35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  <c r="H139">
        <f t="shared" si="8"/>
        <v>0</v>
      </c>
      <c r="I139">
        <f t="shared" si="9"/>
        <v>0</v>
      </c>
      <c r="J139">
        <f t="shared" si="10"/>
        <v>0</v>
      </c>
      <c r="K139" s="3">
        <f t="shared" si="11"/>
        <v>3</v>
      </c>
    </row>
    <row r="140" spans="1:11" x14ac:dyDescent="0.35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  <c r="H140">
        <f t="shared" si="8"/>
        <v>1</v>
      </c>
      <c r="I140">
        <f t="shared" si="9"/>
        <v>1</v>
      </c>
      <c r="J140">
        <f t="shared" si="10"/>
        <v>0</v>
      </c>
      <c r="K140" s="3">
        <f t="shared" si="11"/>
        <v>3</v>
      </c>
    </row>
    <row r="141" spans="1:11" x14ac:dyDescent="0.35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  <c r="H141">
        <f t="shared" si="8"/>
        <v>0</v>
      </c>
      <c r="I141">
        <f t="shared" si="9"/>
        <v>0</v>
      </c>
      <c r="J141">
        <f t="shared" si="10"/>
        <v>0</v>
      </c>
      <c r="K141" s="3">
        <f t="shared" si="11"/>
        <v>3</v>
      </c>
    </row>
    <row r="142" spans="1:11" x14ac:dyDescent="0.35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  <c r="H142">
        <f t="shared" si="8"/>
        <v>0</v>
      </c>
      <c r="I142">
        <f t="shared" si="9"/>
        <v>0</v>
      </c>
      <c r="J142">
        <f t="shared" si="10"/>
        <v>0</v>
      </c>
      <c r="K142" s="3">
        <f t="shared" si="11"/>
        <v>3</v>
      </c>
    </row>
    <row r="143" spans="1:11" x14ac:dyDescent="0.35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  <c r="H143">
        <f t="shared" si="8"/>
        <v>1</v>
      </c>
      <c r="I143">
        <f t="shared" si="9"/>
        <v>0</v>
      </c>
      <c r="J143">
        <f t="shared" si="10"/>
        <v>0</v>
      </c>
      <c r="K143" s="3">
        <f t="shared" si="11"/>
        <v>3</v>
      </c>
    </row>
    <row r="144" spans="1:11" x14ac:dyDescent="0.35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  <c r="H144">
        <f t="shared" si="8"/>
        <v>1</v>
      </c>
      <c r="I144">
        <f t="shared" si="9"/>
        <v>0</v>
      </c>
      <c r="J144">
        <f t="shared" si="10"/>
        <v>0</v>
      </c>
      <c r="K144" s="3">
        <f t="shared" si="11"/>
        <v>3</v>
      </c>
    </row>
    <row r="145" spans="1:11" x14ac:dyDescent="0.35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  <c r="H145">
        <f t="shared" si="8"/>
        <v>0</v>
      </c>
      <c r="I145">
        <f t="shared" si="9"/>
        <v>0</v>
      </c>
      <c r="J145">
        <f t="shared" si="10"/>
        <v>0</v>
      </c>
      <c r="K145" s="3">
        <f t="shared" si="11"/>
        <v>3</v>
      </c>
    </row>
    <row r="146" spans="1:11" x14ac:dyDescent="0.35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  <c r="H146">
        <f t="shared" si="8"/>
        <v>0</v>
      </c>
      <c r="I146">
        <f t="shared" si="9"/>
        <v>0</v>
      </c>
      <c r="J146">
        <f t="shared" si="10"/>
        <v>0</v>
      </c>
      <c r="K146" s="3">
        <f t="shared" si="11"/>
        <v>3</v>
      </c>
    </row>
    <row r="147" spans="1:11" x14ac:dyDescent="0.35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  <c r="H147">
        <f t="shared" si="8"/>
        <v>0</v>
      </c>
      <c r="I147">
        <f t="shared" si="9"/>
        <v>0</v>
      </c>
      <c r="J147">
        <f t="shared" si="10"/>
        <v>0</v>
      </c>
      <c r="K147" s="3">
        <f t="shared" si="11"/>
        <v>3</v>
      </c>
    </row>
    <row r="148" spans="1:11" x14ac:dyDescent="0.35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  <c r="H148">
        <f t="shared" si="8"/>
        <v>0</v>
      </c>
      <c r="I148">
        <f t="shared" si="9"/>
        <v>0</v>
      </c>
      <c r="J148">
        <f t="shared" si="10"/>
        <v>0</v>
      </c>
      <c r="K148" s="3">
        <f t="shared" si="11"/>
        <v>3</v>
      </c>
    </row>
    <row r="149" spans="1:11" x14ac:dyDescent="0.35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  <c r="H149">
        <f t="shared" si="8"/>
        <v>0</v>
      </c>
      <c r="I149">
        <f t="shared" si="9"/>
        <v>0</v>
      </c>
      <c r="J149">
        <f t="shared" si="10"/>
        <v>0</v>
      </c>
      <c r="K149" s="3">
        <f t="shared" si="11"/>
        <v>3</v>
      </c>
    </row>
    <row r="150" spans="1:11" x14ac:dyDescent="0.35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  <c r="H150">
        <f t="shared" si="8"/>
        <v>1</v>
      </c>
      <c r="I150">
        <f t="shared" si="9"/>
        <v>0</v>
      </c>
      <c r="J150">
        <f t="shared" si="10"/>
        <v>0</v>
      </c>
      <c r="K150" s="3">
        <f t="shared" si="11"/>
        <v>3</v>
      </c>
    </row>
    <row r="151" spans="1:11" x14ac:dyDescent="0.35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  <c r="H151">
        <f t="shared" si="8"/>
        <v>1</v>
      </c>
      <c r="I151">
        <f t="shared" si="9"/>
        <v>0</v>
      </c>
      <c r="J151">
        <f t="shared" si="10"/>
        <v>0</v>
      </c>
      <c r="K151" s="3">
        <f t="shared" si="11"/>
        <v>3</v>
      </c>
    </row>
    <row r="152" spans="1:11" x14ac:dyDescent="0.35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  <c r="H152">
        <f t="shared" si="8"/>
        <v>1</v>
      </c>
      <c r="I152">
        <f t="shared" si="9"/>
        <v>0</v>
      </c>
      <c r="J152">
        <f t="shared" si="10"/>
        <v>1</v>
      </c>
      <c r="K152" s="3">
        <f t="shared" si="11"/>
        <v>1</v>
      </c>
    </row>
    <row r="153" spans="1:11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  <c r="H153">
        <f t="shared" si="8"/>
        <v>1</v>
      </c>
      <c r="I153">
        <f t="shared" si="9"/>
        <v>0</v>
      </c>
      <c r="J153">
        <f t="shared" si="10"/>
        <v>1</v>
      </c>
      <c r="K153" s="3">
        <f t="shared" si="11"/>
        <v>1</v>
      </c>
    </row>
    <row r="154" spans="1:11" x14ac:dyDescent="0.35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  <c r="H154">
        <f t="shared" si="8"/>
        <v>1</v>
      </c>
      <c r="I154">
        <f t="shared" si="9"/>
        <v>0</v>
      </c>
      <c r="J154">
        <f t="shared" si="10"/>
        <v>1</v>
      </c>
      <c r="K154" s="3">
        <f t="shared" si="11"/>
        <v>1</v>
      </c>
    </row>
    <row r="155" spans="1:11" x14ac:dyDescent="0.35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  <c r="H155">
        <f t="shared" si="8"/>
        <v>1</v>
      </c>
      <c r="I155">
        <f t="shared" si="9"/>
        <v>0</v>
      </c>
      <c r="J155">
        <f t="shared" si="10"/>
        <v>1</v>
      </c>
      <c r="K155" s="3">
        <f t="shared" si="11"/>
        <v>1</v>
      </c>
    </row>
    <row r="156" spans="1:11" x14ac:dyDescent="0.35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  <c r="H156">
        <f t="shared" si="8"/>
        <v>1</v>
      </c>
      <c r="I156">
        <f t="shared" si="9"/>
        <v>0</v>
      </c>
      <c r="J156">
        <f t="shared" si="10"/>
        <v>1</v>
      </c>
      <c r="K156" s="3">
        <f t="shared" si="11"/>
        <v>1</v>
      </c>
    </row>
    <row r="157" spans="1:11" x14ac:dyDescent="0.35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  <c r="H157">
        <f t="shared" si="8"/>
        <v>0</v>
      </c>
      <c r="I157">
        <f t="shared" si="9"/>
        <v>0</v>
      </c>
      <c r="J157">
        <f t="shared" si="10"/>
        <v>1</v>
      </c>
      <c r="K157" s="3">
        <f t="shared" si="11"/>
        <v>1</v>
      </c>
    </row>
    <row r="158" spans="1:11" x14ac:dyDescent="0.35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  <c r="H158">
        <f t="shared" si="8"/>
        <v>1</v>
      </c>
      <c r="I158">
        <f t="shared" si="9"/>
        <v>0</v>
      </c>
      <c r="J158">
        <f t="shared" si="10"/>
        <v>1</v>
      </c>
      <c r="K158" s="3">
        <f t="shared" si="11"/>
        <v>1</v>
      </c>
    </row>
    <row r="159" spans="1:11" x14ac:dyDescent="0.35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  <c r="H159">
        <f t="shared" si="8"/>
        <v>0</v>
      </c>
      <c r="I159">
        <f t="shared" si="9"/>
        <v>0</v>
      </c>
      <c r="J159">
        <f t="shared" si="10"/>
        <v>1</v>
      </c>
      <c r="K159" s="3">
        <f t="shared" si="11"/>
        <v>1</v>
      </c>
    </row>
    <row r="160" spans="1:11" x14ac:dyDescent="0.35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  <c r="H160">
        <f t="shared" si="8"/>
        <v>0</v>
      </c>
      <c r="I160">
        <f t="shared" si="9"/>
        <v>0</v>
      </c>
      <c r="J160">
        <f t="shared" si="10"/>
        <v>1</v>
      </c>
      <c r="K160" s="3">
        <f t="shared" si="11"/>
        <v>1</v>
      </c>
    </row>
    <row r="161" spans="1:11" x14ac:dyDescent="0.35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  <c r="H161">
        <f t="shared" si="8"/>
        <v>1</v>
      </c>
      <c r="I161">
        <f t="shared" si="9"/>
        <v>0</v>
      </c>
      <c r="J161">
        <f t="shared" si="10"/>
        <v>1</v>
      </c>
      <c r="K161" s="3">
        <f t="shared" si="11"/>
        <v>1</v>
      </c>
    </row>
    <row r="162" spans="1:11" x14ac:dyDescent="0.35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  <c r="H162">
        <f t="shared" si="8"/>
        <v>1</v>
      </c>
      <c r="I162">
        <f t="shared" si="9"/>
        <v>0</v>
      </c>
      <c r="J162">
        <f t="shared" si="10"/>
        <v>1</v>
      </c>
      <c r="K162" s="3">
        <f t="shared" si="11"/>
        <v>1</v>
      </c>
    </row>
    <row r="163" spans="1:11" x14ac:dyDescent="0.35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  <c r="H163">
        <f t="shared" si="8"/>
        <v>1</v>
      </c>
      <c r="I163">
        <f t="shared" si="9"/>
        <v>0</v>
      </c>
      <c r="J163">
        <f t="shared" si="10"/>
        <v>1</v>
      </c>
      <c r="K163" s="3">
        <f t="shared" si="11"/>
        <v>1</v>
      </c>
    </row>
    <row r="164" spans="1:11" x14ac:dyDescent="0.35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  <c r="H164">
        <f t="shared" si="8"/>
        <v>0</v>
      </c>
      <c r="I164">
        <f t="shared" si="9"/>
        <v>0</v>
      </c>
      <c r="J164">
        <f t="shared" si="10"/>
        <v>1</v>
      </c>
      <c r="K164" s="3">
        <f t="shared" si="11"/>
        <v>1</v>
      </c>
    </row>
    <row r="165" spans="1:11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  <c r="H165">
        <f t="shared" si="8"/>
        <v>1</v>
      </c>
      <c r="I165">
        <f t="shared" si="9"/>
        <v>0</v>
      </c>
      <c r="J165">
        <f t="shared" si="10"/>
        <v>1</v>
      </c>
      <c r="K165" s="3">
        <f t="shared" si="11"/>
        <v>1</v>
      </c>
    </row>
    <row r="166" spans="1:11" x14ac:dyDescent="0.35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  <c r="H166">
        <f t="shared" si="8"/>
        <v>0</v>
      </c>
      <c r="I166">
        <f t="shared" si="9"/>
        <v>1</v>
      </c>
      <c r="J166">
        <f t="shared" si="10"/>
        <v>1</v>
      </c>
      <c r="K166" s="3">
        <f t="shared" si="11"/>
        <v>1</v>
      </c>
    </row>
    <row r="167" spans="1:11" x14ac:dyDescent="0.35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  <c r="H167">
        <f t="shared" si="8"/>
        <v>1</v>
      </c>
      <c r="I167">
        <f t="shared" si="9"/>
        <v>0</v>
      </c>
      <c r="J167">
        <f t="shared" si="10"/>
        <v>1</v>
      </c>
      <c r="K167" s="3">
        <f t="shared" si="11"/>
        <v>1</v>
      </c>
    </row>
    <row r="168" spans="1:11" x14ac:dyDescent="0.35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  <c r="H168">
        <f t="shared" si="8"/>
        <v>1</v>
      </c>
      <c r="I168">
        <f t="shared" si="9"/>
        <v>0</v>
      </c>
      <c r="J168">
        <f t="shared" si="10"/>
        <v>1</v>
      </c>
      <c r="K168" s="3">
        <f t="shared" si="11"/>
        <v>1</v>
      </c>
    </row>
    <row r="169" spans="1:11" x14ac:dyDescent="0.35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  <c r="H169">
        <f t="shared" si="8"/>
        <v>1</v>
      </c>
      <c r="I169">
        <f t="shared" si="9"/>
        <v>0</v>
      </c>
      <c r="J169">
        <f t="shared" si="10"/>
        <v>1</v>
      </c>
      <c r="K169" s="3">
        <f t="shared" si="11"/>
        <v>1</v>
      </c>
    </row>
    <row r="170" spans="1:11" x14ac:dyDescent="0.35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  <c r="H170">
        <f t="shared" si="8"/>
        <v>0</v>
      </c>
      <c r="I170">
        <f t="shared" si="9"/>
        <v>1</v>
      </c>
      <c r="J170">
        <f t="shared" si="10"/>
        <v>1</v>
      </c>
      <c r="K170" s="3">
        <f t="shared" si="11"/>
        <v>2</v>
      </c>
    </row>
    <row r="171" spans="1:11" x14ac:dyDescent="0.35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  <c r="H171">
        <f t="shared" si="8"/>
        <v>0</v>
      </c>
      <c r="I171">
        <f t="shared" si="9"/>
        <v>1</v>
      </c>
      <c r="J171">
        <f t="shared" si="10"/>
        <v>1</v>
      </c>
      <c r="K171" s="3">
        <f t="shared" si="11"/>
        <v>2</v>
      </c>
    </row>
    <row r="172" spans="1:11" x14ac:dyDescent="0.35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  <c r="H172">
        <f t="shared" si="8"/>
        <v>1</v>
      </c>
      <c r="I172">
        <f t="shared" si="9"/>
        <v>1</v>
      </c>
      <c r="J172">
        <f t="shared" si="10"/>
        <v>1</v>
      </c>
      <c r="K172" s="3">
        <f t="shared" si="11"/>
        <v>2</v>
      </c>
    </row>
    <row r="173" spans="1:11" x14ac:dyDescent="0.35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  <c r="H173">
        <f t="shared" si="8"/>
        <v>1</v>
      </c>
      <c r="I173">
        <f t="shared" si="9"/>
        <v>1</v>
      </c>
      <c r="J173">
        <f t="shared" si="10"/>
        <v>1</v>
      </c>
      <c r="K173" s="3">
        <f t="shared" si="11"/>
        <v>2</v>
      </c>
    </row>
    <row r="174" spans="1:11" x14ac:dyDescent="0.35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  <c r="H174">
        <f t="shared" si="8"/>
        <v>1</v>
      </c>
      <c r="I174">
        <f t="shared" si="9"/>
        <v>1</v>
      </c>
      <c r="J174">
        <f t="shared" si="10"/>
        <v>1</v>
      </c>
      <c r="K174" s="3">
        <f t="shared" si="11"/>
        <v>1</v>
      </c>
    </row>
    <row r="175" spans="1:11" x14ac:dyDescent="0.35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  <c r="H175">
        <f t="shared" si="8"/>
        <v>1</v>
      </c>
      <c r="I175">
        <f t="shared" si="9"/>
        <v>1</v>
      </c>
      <c r="J175">
        <f t="shared" si="10"/>
        <v>1</v>
      </c>
      <c r="K175" s="3">
        <f t="shared" si="11"/>
        <v>1</v>
      </c>
    </row>
    <row r="176" spans="1:11" x14ac:dyDescent="0.35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  <c r="H176">
        <f t="shared" si="8"/>
        <v>1</v>
      </c>
      <c r="I176">
        <f t="shared" si="9"/>
        <v>1</v>
      </c>
      <c r="J176">
        <f t="shared" si="10"/>
        <v>1</v>
      </c>
      <c r="K176" s="3">
        <f t="shared" si="11"/>
        <v>1</v>
      </c>
    </row>
    <row r="177" spans="1:11" x14ac:dyDescent="0.35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  <c r="H177">
        <f t="shared" si="8"/>
        <v>1</v>
      </c>
      <c r="I177">
        <f t="shared" si="9"/>
        <v>1</v>
      </c>
      <c r="J177">
        <f t="shared" si="10"/>
        <v>1</v>
      </c>
      <c r="K177" s="3">
        <f t="shared" si="11"/>
        <v>1</v>
      </c>
    </row>
    <row r="178" spans="1:11" x14ac:dyDescent="0.35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  <c r="H178">
        <f t="shared" si="8"/>
        <v>1</v>
      </c>
      <c r="I178">
        <f t="shared" si="9"/>
        <v>1</v>
      </c>
      <c r="J178">
        <f t="shared" si="10"/>
        <v>1</v>
      </c>
      <c r="K178" s="3">
        <f t="shared" si="11"/>
        <v>1</v>
      </c>
    </row>
    <row r="179" spans="1:11" x14ac:dyDescent="0.35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  <c r="H179">
        <f t="shared" si="8"/>
        <v>1</v>
      </c>
      <c r="I179">
        <f t="shared" si="9"/>
        <v>1</v>
      </c>
      <c r="J179">
        <f t="shared" si="10"/>
        <v>1</v>
      </c>
      <c r="K179" s="3">
        <f t="shared" si="11"/>
        <v>1</v>
      </c>
    </row>
    <row r="180" spans="1:11" x14ac:dyDescent="0.35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  <c r="H180">
        <f t="shared" si="8"/>
        <v>0</v>
      </c>
      <c r="I180">
        <f t="shared" si="9"/>
        <v>1</v>
      </c>
      <c r="J180">
        <f t="shared" si="10"/>
        <v>1</v>
      </c>
      <c r="K180" s="3">
        <f t="shared" si="11"/>
        <v>1</v>
      </c>
    </row>
    <row r="181" spans="1:11" x14ac:dyDescent="0.35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  <c r="H181">
        <f t="shared" si="8"/>
        <v>1</v>
      </c>
      <c r="I181">
        <f t="shared" si="9"/>
        <v>1</v>
      </c>
      <c r="J181">
        <f t="shared" si="10"/>
        <v>1</v>
      </c>
      <c r="K181" s="3">
        <f t="shared" si="11"/>
        <v>1</v>
      </c>
    </row>
    <row r="182" spans="1:11" x14ac:dyDescent="0.35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  <c r="H182">
        <f t="shared" si="8"/>
        <v>1</v>
      </c>
      <c r="I182">
        <f t="shared" si="9"/>
        <v>1</v>
      </c>
      <c r="J182">
        <f t="shared" si="10"/>
        <v>1</v>
      </c>
      <c r="K182" s="3">
        <f t="shared" si="11"/>
        <v>1</v>
      </c>
    </row>
    <row r="183" spans="1:11" x14ac:dyDescent="0.35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  <c r="H183">
        <f t="shared" si="8"/>
        <v>1</v>
      </c>
      <c r="I183">
        <f t="shared" si="9"/>
        <v>1</v>
      </c>
      <c r="J183">
        <f t="shared" si="10"/>
        <v>1</v>
      </c>
      <c r="K183" s="3">
        <f t="shared" si="11"/>
        <v>1</v>
      </c>
    </row>
    <row r="184" spans="1:11" x14ac:dyDescent="0.35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  <c r="H184">
        <f t="shared" si="8"/>
        <v>1</v>
      </c>
      <c r="I184">
        <f t="shared" si="9"/>
        <v>1</v>
      </c>
      <c r="J184">
        <f t="shared" si="10"/>
        <v>1</v>
      </c>
      <c r="K184" s="3">
        <f t="shared" si="11"/>
        <v>1</v>
      </c>
    </row>
    <row r="185" spans="1:11" x14ac:dyDescent="0.35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  <c r="H185">
        <f t="shared" si="8"/>
        <v>1</v>
      </c>
      <c r="I185">
        <f t="shared" si="9"/>
        <v>1</v>
      </c>
      <c r="J185">
        <f t="shared" si="10"/>
        <v>1</v>
      </c>
      <c r="K185" s="3">
        <f t="shared" si="11"/>
        <v>1</v>
      </c>
    </row>
    <row r="186" spans="1:11" x14ac:dyDescent="0.35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  <c r="H186">
        <f t="shared" si="8"/>
        <v>1</v>
      </c>
      <c r="I186">
        <f t="shared" si="9"/>
        <v>1</v>
      </c>
      <c r="J186">
        <f t="shared" si="10"/>
        <v>1</v>
      </c>
      <c r="K186" s="3">
        <f t="shared" si="11"/>
        <v>1</v>
      </c>
    </row>
    <row r="187" spans="1:11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  <c r="H187">
        <f t="shared" si="8"/>
        <v>1</v>
      </c>
      <c r="I187">
        <f t="shared" si="9"/>
        <v>0</v>
      </c>
      <c r="J187">
        <f t="shared" si="10"/>
        <v>1</v>
      </c>
      <c r="K187" s="3">
        <f t="shared" si="11"/>
        <v>1</v>
      </c>
    </row>
    <row r="188" spans="1:11" x14ac:dyDescent="0.35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  <c r="H188">
        <f t="shared" si="8"/>
        <v>0</v>
      </c>
      <c r="I188">
        <f t="shared" si="9"/>
        <v>1</v>
      </c>
      <c r="J188">
        <f t="shared" si="10"/>
        <v>1</v>
      </c>
      <c r="K188" s="3">
        <f t="shared" si="11"/>
        <v>1</v>
      </c>
    </row>
    <row r="189" spans="1:11" x14ac:dyDescent="0.35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  <c r="H189">
        <f t="shared" si="8"/>
        <v>1</v>
      </c>
      <c r="I189">
        <f t="shared" si="9"/>
        <v>1</v>
      </c>
      <c r="J189">
        <f t="shared" si="10"/>
        <v>1</v>
      </c>
      <c r="K189" s="3">
        <f t="shared" si="11"/>
        <v>1</v>
      </c>
    </row>
    <row r="190" spans="1:11" x14ac:dyDescent="0.35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  <c r="H190">
        <f t="shared" si="8"/>
        <v>0</v>
      </c>
      <c r="I190">
        <f t="shared" si="9"/>
        <v>1</v>
      </c>
      <c r="J190">
        <f t="shared" si="10"/>
        <v>1</v>
      </c>
      <c r="K190" s="3">
        <f t="shared" si="11"/>
        <v>1</v>
      </c>
    </row>
    <row r="191" spans="1:11" x14ac:dyDescent="0.35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  <c r="H191">
        <f t="shared" si="8"/>
        <v>1</v>
      </c>
      <c r="I191">
        <f t="shared" si="9"/>
        <v>1</v>
      </c>
      <c r="J191">
        <f t="shared" si="10"/>
        <v>1</v>
      </c>
      <c r="K191" s="3">
        <f t="shared" si="11"/>
        <v>1</v>
      </c>
    </row>
    <row r="192" spans="1:11" x14ac:dyDescent="0.35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  <c r="H192">
        <f t="shared" si="8"/>
        <v>1</v>
      </c>
      <c r="I192">
        <f t="shared" si="9"/>
        <v>1</v>
      </c>
      <c r="J192">
        <f t="shared" si="10"/>
        <v>1</v>
      </c>
      <c r="K192" s="3">
        <f t="shared" si="11"/>
        <v>1</v>
      </c>
    </row>
    <row r="193" spans="1:11" x14ac:dyDescent="0.35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  <c r="H193">
        <f t="shared" si="8"/>
        <v>0</v>
      </c>
      <c r="I193">
        <f t="shared" si="9"/>
        <v>1</v>
      </c>
      <c r="J193">
        <f t="shared" si="10"/>
        <v>0</v>
      </c>
      <c r="K193" s="3">
        <f t="shared" si="11"/>
        <v>3</v>
      </c>
    </row>
    <row r="194" spans="1:11" x14ac:dyDescent="0.35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  <c r="H194">
        <f t="shared" ref="H194:H244" si="12">IF(A194="male",1,0)</f>
        <v>1</v>
      </c>
      <c r="I194">
        <f t="shared" ref="I194:I244" si="13">IF(B194="yes",1,0)</f>
        <v>1</v>
      </c>
      <c r="J194">
        <f t="shared" ref="J194:J244" si="14">IF(D194="Dinner",1,0)</f>
        <v>0</v>
      </c>
      <c r="K194" s="3">
        <f t="shared" ref="K194:K244" si="15">IF(C194="Sun",1,IF(C194="sat",2,IF(C194="thur",3,4)))</f>
        <v>3</v>
      </c>
    </row>
    <row r="195" spans="1:11" x14ac:dyDescent="0.35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  <c r="H195">
        <f t="shared" si="12"/>
        <v>1</v>
      </c>
      <c r="I195">
        <f t="shared" si="13"/>
        <v>1</v>
      </c>
      <c r="J195">
        <f t="shared" si="14"/>
        <v>0</v>
      </c>
      <c r="K195" s="3">
        <f t="shared" si="15"/>
        <v>3</v>
      </c>
    </row>
    <row r="196" spans="1:11" x14ac:dyDescent="0.35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  <c r="H196">
        <f t="shared" si="12"/>
        <v>1</v>
      </c>
      <c r="I196">
        <f t="shared" si="13"/>
        <v>1</v>
      </c>
      <c r="J196">
        <f t="shared" si="14"/>
        <v>0</v>
      </c>
      <c r="K196" s="3">
        <f t="shared" si="15"/>
        <v>3</v>
      </c>
    </row>
    <row r="197" spans="1:11" x14ac:dyDescent="0.35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  <c r="H197">
        <f t="shared" si="12"/>
        <v>1</v>
      </c>
      <c r="I197">
        <f t="shared" si="13"/>
        <v>0</v>
      </c>
      <c r="J197">
        <f t="shared" si="14"/>
        <v>0</v>
      </c>
      <c r="K197" s="3">
        <f t="shared" si="15"/>
        <v>3</v>
      </c>
    </row>
    <row r="198" spans="1:11" x14ac:dyDescent="0.35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  <c r="H198">
        <f t="shared" si="12"/>
        <v>1</v>
      </c>
      <c r="I198">
        <f t="shared" si="13"/>
        <v>1</v>
      </c>
      <c r="J198">
        <f t="shared" si="14"/>
        <v>0</v>
      </c>
      <c r="K198" s="3">
        <f t="shared" si="15"/>
        <v>3</v>
      </c>
    </row>
    <row r="199" spans="1:11" x14ac:dyDescent="0.35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  <c r="H199">
        <f t="shared" si="12"/>
        <v>0</v>
      </c>
      <c r="I199">
        <f t="shared" si="13"/>
        <v>1</v>
      </c>
      <c r="J199">
        <f t="shared" si="14"/>
        <v>0</v>
      </c>
      <c r="K199" s="3">
        <f t="shared" si="15"/>
        <v>3</v>
      </c>
    </row>
    <row r="200" spans="1:11" x14ac:dyDescent="0.35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  <c r="H200">
        <f t="shared" si="12"/>
        <v>0</v>
      </c>
      <c r="I200">
        <f t="shared" si="13"/>
        <v>1</v>
      </c>
      <c r="J200">
        <f t="shared" si="14"/>
        <v>0</v>
      </c>
      <c r="K200" s="3">
        <f t="shared" si="15"/>
        <v>3</v>
      </c>
    </row>
    <row r="201" spans="1:11" x14ac:dyDescent="0.35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  <c r="H201">
        <f t="shared" si="12"/>
        <v>1</v>
      </c>
      <c r="I201">
        <f t="shared" si="13"/>
        <v>1</v>
      </c>
      <c r="J201">
        <f t="shared" si="14"/>
        <v>0</v>
      </c>
      <c r="K201" s="3">
        <f t="shared" si="15"/>
        <v>3</v>
      </c>
    </row>
    <row r="202" spans="1:11" x14ac:dyDescent="0.35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  <c r="H202">
        <f t="shared" si="12"/>
        <v>1</v>
      </c>
      <c r="I202">
        <f t="shared" si="13"/>
        <v>1</v>
      </c>
      <c r="J202">
        <f t="shared" si="14"/>
        <v>0</v>
      </c>
      <c r="K202" s="3">
        <f t="shared" si="15"/>
        <v>3</v>
      </c>
    </row>
    <row r="203" spans="1:11" x14ac:dyDescent="0.35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  <c r="H203">
        <f t="shared" si="12"/>
        <v>0</v>
      </c>
      <c r="I203">
        <f t="shared" si="13"/>
        <v>1</v>
      </c>
      <c r="J203">
        <f t="shared" si="14"/>
        <v>0</v>
      </c>
      <c r="K203" s="3">
        <f t="shared" si="15"/>
        <v>3</v>
      </c>
    </row>
    <row r="204" spans="1:11" x14ac:dyDescent="0.35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16.399999999999999</v>
      </c>
      <c r="G204">
        <v>2.5</v>
      </c>
      <c r="H204">
        <f t="shared" si="12"/>
        <v>0</v>
      </c>
      <c r="I204">
        <f t="shared" si="13"/>
        <v>1</v>
      </c>
      <c r="J204">
        <f t="shared" si="14"/>
        <v>0</v>
      </c>
      <c r="K204" s="3">
        <f t="shared" si="15"/>
        <v>3</v>
      </c>
    </row>
    <row r="205" spans="1:11" x14ac:dyDescent="0.35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20.53</v>
      </c>
      <c r="G205">
        <v>4</v>
      </c>
      <c r="H205">
        <f t="shared" si="12"/>
        <v>1</v>
      </c>
      <c r="I205">
        <f t="shared" si="13"/>
        <v>1</v>
      </c>
      <c r="J205">
        <f t="shared" si="14"/>
        <v>0</v>
      </c>
      <c r="K205" s="3">
        <f t="shared" si="15"/>
        <v>3</v>
      </c>
    </row>
    <row r="206" spans="1:11" x14ac:dyDescent="0.35">
      <c r="A206" t="s">
        <v>7</v>
      </c>
      <c r="B206" t="s">
        <v>22</v>
      </c>
      <c r="C206" t="s">
        <v>23</v>
      </c>
      <c r="D206" t="s">
        <v>24</v>
      </c>
      <c r="E206">
        <v>3</v>
      </c>
      <c r="F206">
        <v>16.47</v>
      </c>
      <c r="G206">
        <v>3.23</v>
      </c>
      <c r="H206">
        <f t="shared" si="12"/>
        <v>0</v>
      </c>
      <c r="I206">
        <f t="shared" si="13"/>
        <v>1</v>
      </c>
      <c r="J206">
        <f t="shared" si="14"/>
        <v>0</v>
      </c>
      <c r="K206" s="3">
        <f t="shared" si="15"/>
        <v>3</v>
      </c>
    </row>
    <row r="207" spans="1:11" x14ac:dyDescent="0.35">
      <c r="A207" t="s">
        <v>11</v>
      </c>
      <c r="B207" t="s">
        <v>22</v>
      </c>
      <c r="C207" t="s">
        <v>21</v>
      </c>
      <c r="D207" t="s">
        <v>10</v>
      </c>
      <c r="E207">
        <v>3</v>
      </c>
      <c r="F207">
        <v>26.59</v>
      </c>
      <c r="G207">
        <v>3.41</v>
      </c>
      <c r="H207">
        <f t="shared" si="12"/>
        <v>1</v>
      </c>
      <c r="I207">
        <f t="shared" si="13"/>
        <v>1</v>
      </c>
      <c r="J207">
        <f t="shared" si="14"/>
        <v>1</v>
      </c>
      <c r="K207" s="3">
        <f t="shared" si="15"/>
        <v>2</v>
      </c>
    </row>
    <row r="208" spans="1:11" x14ac:dyDescent="0.35">
      <c r="A208" t="s">
        <v>11</v>
      </c>
      <c r="B208" t="s">
        <v>22</v>
      </c>
      <c r="C208" t="s">
        <v>21</v>
      </c>
      <c r="D208" t="s">
        <v>10</v>
      </c>
      <c r="E208">
        <v>4</v>
      </c>
      <c r="F208">
        <v>38.729999999999997</v>
      </c>
      <c r="G208">
        <v>3</v>
      </c>
      <c r="H208">
        <f t="shared" si="12"/>
        <v>1</v>
      </c>
      <c r="I208">
        <f t="shared" si="13"/>
        <v>1</v>
      </c>
      <c r="J208">
        <f t="shared" si="14"/>
        <v>1</v>
      </c>
      <c r="K208" s="3">
        <f t="shared" si="15"/>
        <v>2</v>
      </c>
    </row>
    <row r="209" spans="1:11" x14ac:dyDescent="0.35">
      <c r="A209" t="s">
        <v>11</v>
      </c>
      <c r="B209" t="s">
        <v>22</v>
      </c>
      <c r="C209" t="s">
        <v>21</v>
      </c>
      <c r="D209" t="s">
        <v>10</v>
      </c>
      <c r="E209">
        <v>2</v>
      </c>
      <c r="F209">
        <v>24.27</v>
      </c>
      <c r="G209">
        <v>2.0299999999999998</v>
      </c>
      <c r="H209">
        <f t="shared" si="12"/>
        <v>1</v>
      </c>
      <c r="I209">
        <f t="shared" si="13"/>
        <v>1</v>
      </c>
      <c r="J209">
        <f t="shared" si="14"/>
        <v>1</v>
      </c>
      <c r="K209" s="3">
        <f t="shared" si="15"/>
        <v>2</v>
      </c>
    </row>
    <row r="210" spans="1:11" x14ac:dyDescent="0.35">
      <c r="A210" t="s">
        <v>7</v>
      </c>
      <c r="B210" t="s">
        <v>22</v>
      </c>
      <c r="C210" t="s">
        <v>21</v>
      </c>
      <c r="D210" t="s">
        <v>10</v>
      </c>
      <c r="E210">
        <v>2</v>
      </c>
      <c r="F210">
        <v>12.76</v>
      </c>
      <c r="G210">
        <v>2.23</v>
      </c>
      <c r="H210">
        <f t="shared" si="12"/>
        <v>0</v>
      </c>
      <c r="I210">
        <f t="shared" si="13"/>
        <v>1</v>
      </c>
      <c r="J210">
        <f t="shared" si="14"/>
        <v>1</v>
      </c>
      <c r="K210" s="3">
        <f t="shared" si="15"/>
        <v>2</v>
      </c>
    </row>
    <row r="211" spans="1:11" x14ac:dyDescent="0.35">
      <c r="A211" t="s">
        <v>11</v>
      </c>
      <c r="B211" t="s">
        <v>22</v>
      </c>
      <c r="C211" t="s">
        <v>21</v>
      </c>
      <c r="D211" t="s">
        <v>10</v>
      </c>
      <c r="E211">
        <v>3</v>
      </c>
      <c r="F211">
        <v>30.06</v>
      </c>
      <c r="G211">
        <v>2</v>
      </c>
      <c r="H211">
        <f t="shared" si="12"/>
        <v>1</v>
      </c>
      <c r="I211">
        <f t="shared" si="13"/>
        <v>1</v>
      </c>
      <c r="J211">
        <f t="shared" si="14"/>
        <v>1</v>
      </c>
      <c r="K211" s="3">
        <f t="shared" si="15"/>
        <v>2</v>
      </c>
    </row>
    <row r="212" spans="1:11" x14ac:dyDescent="0.35">
      <c r="A212" t="s">
        <v>11</v>
      </c>
      <c r="B212" t="s">
        <v>22</v>
      </c>
      <c r="C212" t="s">
        <v>21</v>
      </c>
      <c r="D212" t="s">
        <v>10</v>
      </c>
      <c r="E212">
        <v>4</v>
      </c>
      <c r="F212">
        <v>25.89</v>
      </c>
      <c r="G212">
        <v>5.16</v>
      </c>
      <c r="H212">
        <f t="shared" si="12"/>
        <v>1</v>
      </c>
      <c r="I212">
        <f t="shared" si="13"/>
        <v>1</v>
      </c>
      <c r="J212">
        <f t="shared" si="14"/>
        <v>1</v>
      </c>
      <c r="K212" s="3">
        <f t="shared" si="15"/>
        <v>2</v>
      </c>
    </row>
    <row r="213" spans="1:11" x14ac:dyDescent="0.35">
      <c r="A213" t="s">
        <v>11</v>
      </c>
      <c r="B213" t="s">
        <v>8</v>
      </c>
      <c r="C213" t="s">
        <v>21</v>
      </c>
      <c r="D213" t="s">
        <v>10</v>
      </c>
      <c r="E213">
        <v>4</v>
      </c>
      <c r="F213">
        <v>48.33</v>
      </c>
      <c r="G213">
        <v>9</v>
      </c>
      <c r="H213">
        <f t="shared" si="12"/>
        <v>1</v>
      </c>
      <c r="I213">
        <f t="shared" si="13"/>
        <v>0</v>
      </c>
      <c r="J213">
        <f t="shared" si="14"/>
        <v>1</v>
      </c>
      <c r="K213" s="3">
        <f t="shared" si="15"/>
        <v>2</v>
      </c>
    </row>
    <row r="214" spans="1:11" x14ac:dyDescent="0.35">
      <c r="A214" t="s">
        <v>7</v>
      </c>
      <c r="B214" t="s">
        <v>22</v>
      </c>
      <c r="C214" t="s">
        <v>21</v>
      </c>
      <c r="D214" t="s">
        <v>10</v>
      </c>
      <c r="E214">
        <v>2</v>
      </c>
      <c r="F214">
        <v>13.27</v>
      </c>
      <c r="G214">
        <v>2.5</v>
      </c>
      <c r="H214">
        <f t="shared" si="12"/>
        <v>0</v>
      </c>
      <c r="I214">
        <f t="shared" si="13"/>
        <v>1</v>
      </c>
      <c r="J214">
        <f t="shared" si="14"/>
        <v>1</v>
      </c>
      <c r="K214" s="3">
        <f t="shared" si="15"/>
        <v>2</v>
      </c>
    </row>
    <row r="215" spans="1:11" x14ac:dyDescent="0.35">
      <c r="A215" t="s">
        <v>7</v>
      </c>
      <c r="B215" t="s">
        <v>22</v>
      </c>
      <c r="C215" t="s">
        <v>21</v>
      </c>
      <c r="D215" t="s">
        <v>10</v>
      </c>
      <c r="E215">
        <v>3</v>
      </c>
      <c r="F215">
        <v>28.17</v>
      </c>
      <c r="G215">
        <v>6.5</v>
      </c>
      <c r="H215">
        <f t="shared" si="12"/>
        <v>0</v>
      </c>
      <c r="I215">
        <f t="shared" si="13"/>
        <v>1</v>
      </c>
      <c r="J215">
        <f t="shared" si="14"/>
        <v>1</v>
      </c>
      <c r="K215" s="3">
        <f t="shared" si="15"/>
        <v>2</v>
      </c>
    </row>
    <row r="216" spans="1:11" x14ac:dyDescent="0.35">
      <c r="A216" t="s">
        <v>7</v>
      </c>
      <c r="B216" t="s">
        <v>22</v>
      </c>
      <c r="C216" t="s">
        <v>21</v>
      </c>
      <c r="D216" t="s">
        <v>10</v>
      </c>
      <c r="E216">
        <v>2</v>
      </c>
      <c r="F216">
        <v>12.9</v>
      </c>
      <c r="G216">
        <v>1.1000000000000001</v>
      </c>
      <c r="H216">
        <f t="shared" si="12"/>
        <v>0</v>
      </c>
      <c r="I216">
        <f t="shared" si="13"/>
        <v>1</v>
      </c>
      <c r="J216">
        <f t="shared" si="14"/>
        <v>1</v>
      </c>
      <c r="K216" s="3">
        <f t="shared" si="15"/>
        <v>2</v>
      </c>
    </row>
    <row r="217" spans="1:11" x14ac:dyDescent="0.35">
      <c r="A217" t="s">
        <v>11</v>
      </c>
      <c r="B217" t="s">
        <v>22</v>
      </c>
      <c r="C217" t="s">
        <v>21</v>
      </c>
      <c r="D217" t="s">
        <v>10</v>
      </c>
      <c r="E217">
        <v>5</v>
      </c>
      <c r="F217">
        <v>28.15</v>
      </c>
      <c r="G217">
        <v>3</v>
      </c>
      <c r="H217">
        <f t="shared" si="12"/>
        <v>1</v>
      </c>
      <c r="I217">
        <f t="shared" si="13"/>
        <v>1</v>
      </c>
      <c r="J217">
        <f t="shared" si="14"/>
        <v>1</v>
      </c>
      <c r="K217" s="3">
        <f t="shared" si="15"/>
        <v>2</v>
      </c>
    </row>
    <row r="218" spans="1:11" x14ac:dyDescent="0.35">
      <c r="A218" t="s">
        <v>11</v>
      </c>
      <c r="B218" t="s">
        <v>22</v>
      </c>
      <c r="C218" t="s">
        <v>21</v>
      </c>
      <c r="D218" t="s">
        <v>10</v>
      </c>
      <c r="E218">
        <v>2</v>
      </c>
      <c r="F218">
        <v>11.59</v>
      </c>
      <c r="G218">
        <v>1.5</v>
      </c>
      <c r="H218">
        <f t="shared" si="12"/>
        <v>1</v>
      </c>
      <c r="I218">
        <f t="shared" si="13"/>
        <v>1</v>
      </c>
      <c r="J218">
        <f t="shared" si="14"/>
        <v>1</v>
      </c>
      <c r="K218" s="3">
        <f t="shared" si="15"/>
        <v>2</v>
      </c>
    </row>
    <row r="219" spans="1:11" x14ac:dyDescent="0.35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7.74</v>
      </c>
      <c r="G219">
        <v>1.44</v>
      </c>
      <c r="H219">
        <f t="shared" si="12"/>
        <v>1</v>
      </c>
      <c r="I219">
        <f t="shared" si="13"/>
        <v>1</v>
      </c>
      <c r="J219">
        <f t="shared" si="14"/>
        <v>1</v>
      </c>
      <c r="K219" s="3">
        <f t="shared" si="15"/>
        <v>2</v>
      </c>
    </row>
    <row r="220" spans="1:11" x14ac:dyDescent="0.35">
      <c r="A220" t="s">
        <v>7</v>
      </c>
      <c r="B220" t="s">
        <v>22</v>
      </c>
      <c r="C220" t="s">
        <v>21</v>
      </c>
      <c r="D220" t="s">
        <v>10</v>
      </c>
      <c r="E220">
        <v>4</v>
      </c>
      <c r="F220">
        <v>30.14</v>
      </c>
      <c r="G220">
        <v>3.09</v>
      </c>
      <c r="H220">
        <f t="shared" si="12"/>
        <v>0</v>
      </c>
      <c r="I220">
        <f t="shared" si="13"/>
        <v>1</v>
      </c>
      <c r="J220">
        <f t="shared" si="14"/>
        <v>1</v>
      </c>
      <c r="K220" s="3">
        <f t="shared" si="15"/>
        <v>2</v>
      </c>
    </row>
    <row r="221" spans="1:11" x14ac:dyDescent="0.35">
      <c r="A221" t="s">
        <v>11</v>
      </c>
      <c r="B221" t="s">
        <v>22</v>
      </c>
      <c r="C221" t="s">
        <v>25</v>
      </c>
      <c r="D221" t="s">
        <v>24</v>
      </c>
      <c r="E221">
        <v>2</v>
      </c>
      <c r="F221">
        <v>12.16</v>
      </c>
      <c r="G221">
        <v>2.2000000000000002</v>
      </c>
      <c r="H221">
        <f t="shared" si="12"/>
        <v>1</v>
      </c>
      <c r="I221">
        <f t="shared" si="13"/>
        <v>1</v>
      </c>
      <c r="J221">
        <f t="shared" si="14"/>
        <v>0</v>
      </c>
      <c r="K221" s="3">
        <f t="shared" si="15"/>
        <v>4</v>
      </c>
    </row>
    <row r="222" spans="1:11" x14ac:dyDescent="0.35">
      <c r="A222" t="s">
        <v>7</v>
      </c>
      <c r="B222" t="s">
        <v>22</v>
      </c>
      <c r="C222" t="s">
        <v>25</v>
      </c>
      <c r="D222" t="s">
        <v>24</v>
      </c>
      <c r="E222">
        <v>2</v>
      </c>
      <c r="F222">
        <v>13.42</v>
      </c>
      <c r="G222">
        <v>3.48</v>
      </c>
      <c r="H222">
        <f t="shared" si="12"/>
        <v>0</v>
      </c>
      <c r="I222">
        <f t="shared" si="13"/>
        <v>1</v>
      </c>
      <c r="J222">
        <f t="shared" si="14"/>
        <v>0</v>
      </c>
      <c r="K222" s="3">
        <f t="shared" si="15"/>
        <v>4</v>
      </c>
    </row>
    <row r="223" spans="1:11" x14ac:dyDescent="0.35">
      <c r="A223" t="s">
        <v>11</v>
      </c>
      <c r="B223" t="s">
        <v>22</v>
      </c>
      <c r="C223" t="s">
        <v>25</v>
      </c>
      <c r="D223" t="s">
        <v>24</v>
      </c>
      <c r="E223">
        <v>1</v>
      </c>
      <c r="F223">
        <v>8.58</v>
      </c>
      <c r="G223">
        <v>1.92</v>
      </c>
      <c r="H223">
        <f t="shared" si="12"/>
        <v>1</v>
      </c>
      <c r="I223">
        <f t="shared" si="13"/>
        <v>1</v>
      </c>
      <c r="J223">
        <f t="shared" si="14"/>
        <v>0</v>
      </c>
      <c r="K223" s="3">
        <f t="shared" si="15"/>
        <v>4</v>
      </c>
    </row>
    <row r="224" spans="1:11" x14ac:dyDescent="0.35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15.98</v>
      </c>
      <c r="G224">
        <v>3</v>
      </c>
      <c r="H224">
        <f t="shared" si="12"/>
        <v>0</v>
      </c>
      <c r="I224">
        <f t="shared" si="13"/>
        <v>0</v>
      </c>
      <c r="J224">
        <f t="shared" si="14"/>
        <v>0</v>
      </c>
      <c r="K224" s="3">
        <f t="shared" si="15"/>
        <v>4</v>
      </c>
    </row>
    <row r="225" spans="1:11" x14ac:dyDescent="0.35">
      <c r="A225" t="s">
        <v>11</v>
      </c>
      <c r="B225" t="s">
        <v>22</v>
      </c>
      <c r="C225" t="s">
        <v>25</v>
      </c>
      <c r="D225" t="s">
        <v>24</v>
      </c>
      <c r="E225">
        <v>2</v>
      </c>
      <c r="F225">
        <v>13.42</v>
      </c>
      <c r="G225">
        <v>1.58</v>
      </c>
      <c r="H225">
        <f t="shared" si="12"/>
        <v>1</v>
      </c>
      <c r="I225">
        <f t="shared" si="13"/>
        <v>1</v>
      </c>
      <c r="J225">
        <f t="shared" si="14"/>
        <v>0</v>
      </c>
      <c r="K225" s="3">
        <f t="shared" si="15"/>
        <v>4</v>
      </c>
    </row>
    <row r="226" spans="1:11" x14ac:dyDescent="0.35">
      <c r="A226" t="s">
        <v>7</v>
      </c>
      <c r="B226" t="s">
        <v>22</v>
      </c>
      <c r="C226" t="s">
        <v>25</v>
      </c>
      <c r="D226" t="s">
        <v>24</v>
      </c>
      <c r="E226">
        <v>2</v>
      </c>
      <c r="F226">
        <v>16.27</v>
      </c>
      <c r="G226">
        <v>2.5</v>
      </c>
      <c r="H226">
        <f t="shared" si="12"/>
        <v>0</v>
      </c>
      <c r="I226">
        <f t="shared" si="13"/>
        <v>1</v>
      </c>
      <c r="J226">
        <f t="shared" si="14"/>
        <v>0</v>
      </c>
      <c r="K226" s="3">
        <f t="shared" si="15"/>
        <v>4</v>
      </c>
    </row>
    <row r="227" spans="1:11" x14ac:dyDescent="0.35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10.09</v>
      </c>
      <c r="G227">
        <v>2</v>
      </c>
      <c r="H227">
        <f t="shared" si="12"/>
        <v>0</v>
      </c>
      <c r="I227">
        <f t="shared" si="13"/>
        <v>1</v>
      </c>
      <c r="J227">
        <f t="shared" si="14"/>
        <v>0</v>
      </c>
      <c r="K227" s="3">
        <f t="shared" si="15"/>
        <v>4</v>
      </c>
    </row>
    <row r="228" spans="1:11" x14ac:dyDescent="0.35">
      <c r="A228" t="s">
        <v>11</v>
      </c>
      <c r="B228" t="s">
        <v>8</v>
      </c>
      <c r="C228" t="s">
        <v>21</v>
      </c>
      <c r="D228" t="s">
        <v>10</v>
      </c>
      <c r="E228">
        <v>4</v>
      </c>
      <c r="F228">
        <v>20.45</v>
      </c>
      <c r="G228">
        <v>3</v>
      </c>
      <c r="H228">
        <f t="shared" si="12"/>
        <v>1</v>
      </c>
      <c r="I228">
        <f t="shared" si="13"/>
        <v>0</v>
      </c>
      <c r="J228">
        <f t="shared" si="14"/>
        <v>1</v>
      </c>
      <c r="K228" s="3">
        <f t="shared" si="15"/>
        <v>2</v>
      </c>
    </row>
    <row r="229" spans="1:11" x14ac:dyDescent="0.35">
      <c r="A229" t="s">
        <v>11</v>
      </c>
      <c r="B229" t="s">
        <v>8</v>
      </c>
      <c r="C229" t="s">
        <v>21</v>
      </c>
      <c r="D229" t="s">
        <v>10</v>
      </c>
      <c r="E229">
        <v>2</v>
      </c>
      <c r="F229">
        <v>13.28</v>
      </c>
      <c r="G229">
        <v>2.72</v>
      </c>
      <c r="H229">
        <f t="shared" si="12"/>
        <v>1</v>
      </c>
      <c r="I229">
        <f t="shared" si="13"/>
        <v>0</v>
      </c>
      <c r="J229">
        <f t="shared" si="14"/>
        <v>1</v>
      </c>
      <c r="K229" s="3">
        <f t="shared" si="15"/>
        <v>2</v>
      </c>
    </row>
    <row r="230" spans="1:11" x14ac:dyDescent="0.35">
      <c r="A230" t="s">
        <v>7</v>
      </c>
      <c r="B230" t="s">
        <v>22</v>
      </c>
      <c r="C230" t="s">
        <v>21</v>
      </c>
      <c r="D230" t="s">
        <v>10</v>
      </c>
      <c r="E230">
        <v>2</v>
      </c>
      <c r="F230">
        <v>22.12</v>
      </c>
      <c r="G230">
        <v>2.88</v>
      </c>
      <c r="H230">
        <f t="shared" si="12"/>
        <v>0</v>
      </c>
      <c r="I230">
        <f t="shared" si="13"/>
        <v>1</v>
      </c>
      <c r="J230">
        <f t="shared" si="14"/>
        <v>1</v>
      </c>
      <c r="K230" s="3">
        <f t="shared" si="15"/>
        <v>2</v>
      </c>
    </row>
    <row r="231" spans="1:11" x14ac:dyDescent="0.35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24.01</v>
      </c>
      <c r="G231">
        <v>2</v>
      </c>
      <c r="H231">
        <f t="shared" si="12"/>
        <v>1</v>
      </c>
      <c r="I231">
        <f t="shared" si="13"/>
        <v>1</v>
      </c>
      <c r="J231">
        <f t="shared" si="14"/>
        <v>1</v>
      </c>
      <c r="K231" s="3">
        <f t="shared" si="15"/>
        <v>2</v>
      </c>
    </row>
    <row r="232" spans="1:11" x14ac:dyDescent="0.35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15.69</v>
      </c>
      <c r="G232">
        <v>3</v>
      </c>
      <c r="H232">
        <f t="shared" si="12"/>
        <v>1</v>
      </c>
      <c r="I232">
        <f t="shared" si="13"/>
        <v>1</v>
      </c>
      <c r="J232">
        <f t="shared" si="14"/>
        <v>1</v>
      </c>
      <c r="K232" s="3">
        <f t="shared" si="15"/>
        <v>2</v>
      </c>
    </row>
    <row r="233" spans="1:11" x14ac:dyDescent="0.35">
      <c r="A233" t="s">
        <v>11</v>
      </c>
      <c r="B233" t="s">
        <v>8</v>
      </c>
      <c r="C233" t="s">
        <v>21</v>
      </c>
      <c r="D233" t="s">
        <v>10</v>
      </c>
      <c r="E233">
        <v>2</v>
      </c>
      <c r="F233">
        <v>11.61</v>
      </c>
      <c r="G233">
        <v>3.39</v>
      </c>
      <c r="H233">
        <f t="shared" si="12"/>
        <v>1</v>
      </c>
      <c r="I233">
        <f t="shared" si="13"/>
        <v>0</v>
      </c>
      <c r="J233">
        <f t="shared" si="14"/>
        <v>1</v>
      </c>
      <c r="K233" s="3">
        <f t="shared" si="15"/>
        <v>2</v>
      </c>
    </row>
    <row r="234" spans="1:11" x14ac:dyDescent="0.35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10.77</v>
      </c>
      <c r="G234">
        <v>1.47</v>
      </c>
      <c r="H234">
        <f t="shared" si="12"/>
        <v>1</v>
      </c>
      <c r="I234">
        <f t="shared" si="13"/>
        <v>0</v>
      </c>
      <c r="J234">
        <f t="shared" si="14"/>
        <v>1</v>
      </c>
      <c r="K234" s="3">
        <f t="shared" si="15"/>
        <v>2</v>
      </c>
    </row>
    <row r="235" spans="1:11" x14ac:dyDescent="0.35">
      <c r="A235" t="s">
        <v>11</v>
      </c>
      <c r="B235" t="s">
        <v>22</v>
      </c>
      <c r="C235" t="s">
        <v>21</v>
      </c>
      <c r="D235" t="s">
        <v>10</v>
      </c>
      <c r="E235">
        <v>2</v>
      </c>
      <c r="F235">
        <v>15.53</v>
      </c>
      <c r="G235">
        <v>3</v>
      </c>
      <c r="H235">
        <f t="shared" si="12"/>
        <v>1</v>
      </c>
      <c r="I235">
        <f t="shared" si="13"/>
        <v>1</v>
      </c>
      <c r="J235">
        <f t="shared" si="14"/>
        <v>1</v>
      </c>
      <c r="K235" s="3">
        <f t="shared" si="15"/>
        <v>2</v>
      </c>
    </row>
    <row r="236" spans="1:11" x14ac:dyDescent="0.35">
      <c r="A236" t="s">
        <v>11</v>
      </c>
      <c r="B236" t="s">
        <v>8</v>
      </c>
      <c r="C236" t="s">
        <v>21</v>
      </c>
      <c r="D236" t="s">
        <v>10</v>
      </c>
      <c r="E236">
        <v>2</v>
      </c>
      <c r="F236">
        <v>10.07</v>
      </c>
      <c r="G236">
        <v>1.25</v>
      </c>
      <c r="H236">
        <f t="shared" si="12"/>
        <v>1</v>
      </c>
      <c r="I236">
        <f t="shared" si="13"/>
        <v>0</v>
      </c>
      <c r="J236">
        <f t="shared" si="14"/>
        <v>1</v>
      </c>
      <c r="K236" s="3">
        <f t="shared" si="15"/>
        <v>2</v>
      </c>
    </row>
    <row r="237" spans="1:11" x14ac:dyDescent="0.35">
      <c r="A237" t="s">
        <v>11</v>
      </c>
      <c r="B237" t="s">
        <v>22</v>
      </c>
      <c r="C237" t="s">
        <v>21</v>
      </c>
      <c r="D237" t="s">
        <v>10</v>
      </c>
      <c r="E237">
        <v>2</v>
      </c>
      <c r="F237">
        <v>12.6</v>
      </c>
      <c r="G237">
        <v>1</v>
      </c>
      <c r="H237">
        <f t="shared" si="12"/>
        <v>1</v>
      </c>
      <c r="I237">
        <f t="shared" si="13"/>
        <v>1</v>
      </c>
      <c r="J237">
        <f t="shared" si="14"/>
        <v>1</v>
      </c>
      <c r="K237" s="3">
        <f t="shared" si="15"/>
        <v>2</v>
      </c>
    </row>
    <row r="238" spans="1:11" x14ac:dyDescent="0.35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32.83</v>
      </c>
      <c r="G238">
        <v>1.17</v>
      </c>
      <c r="H238">
        <f t="shared" si="12"/>
        <v>1</v>
      </c>
      <c r="I238">
        <f t="shared" si="13"/>
        <v>1</v>
      </c>
      <c r="J238">
        <f t="shared" si="14"/>
        <v>1</v>
      </c>
      <c r="K238" s="3">
        <f t="shared" si="15"/>
        <v>2</v>
      </c>
    </row>
    <row r="239" spans="1:11" x14ac:dyDescent="0.35">
      <c r="A239" t="s">
        <v>7</v>
      </c>
      <c r="B239" t="s">
        <v>8</v>
      </c>
      <c r="C239" t="s">
        <v>21</v>
      </c>
      <c r="D239" t="s">
        <v>10</v>
      </c>
      <c r="E239">
        <v>3</v>
      </c>
      <c r="F239">
        <v>35.83</v>
      </c>
      <c r="G239">
        <v>4.67</v>
      </c>
      <c r="H239">
        <f t="shared" si="12"/>
        <v>0</v>
      </c>
      <c r="I239">
        <f t="shared" si="13"/>
        <v>0</v>
      </c>
      <c r="J239">
        <f t="shared" si="14"/>
        <v>1</v>
      </c>
      <c r="K239" s="3">
        <f t="shared" si="15"/>
        <v>2</v>
      </c>
    </row>
    <row r="240" spans="1:11" x14ac:dyDescent="0.35">
      <c r="A240" t="s">
        <v>11</v>
      </c>
      <c r="B240" t="s">
        <v>8</v>
      </c>
      <c r="C240" t="s">
        <v>21</v>
      </c>
      <c r="D240" t="s">
        <v>10</v>
      </c>
      <c r="E240">
        <v>3</v>
      </c>
      <c r="F240">
        <v>29.03</v>
      </c>
      <c r="G240">
        <v>5.92</v>
      </c>
      <c r="H240">
        <f t="shared" si="12"/>
        <v>1</v>
      </c>
      <c r="I240">
        <f t="shared" si="13"/>
        <v>0</v>
      </c>
      <c r="J240">
        <f t="shared" si="14"/>
        <v>1</v>
      </c>
      <c r="K240" s="3">
        <f t="shared" si="15"/>
        <v>2</v>
      </c>
    </row>
    <row r="241" spans="1:11" x14ac:dyDescent="0.35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27.18</v>
      </c>
      <c r="G241">
        <v>2</v>
      </c>
      <c r="H241">
        <f t="shared" si="12"/>
        <v>0</v>
      </c>
      <c r="I241">
        <f t="shared" si="13"/>
        <v>1</v>
      </c>
      <c r="J241">
        <f t="shared" si="14"/>
        <v>1</v>
      </c>
      <c r="K241" s="3">
        <f t="shared" si="15"/>
        <v>2</v>
      </c>
    </row>
    <row r="242" spans="1:11" x14ac:dyDescent="0.35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22.67</v>
      </c>
      <c r="G242">
        <v>2</v>
      </c>
      <c r="H242">
        <f t="shared" si="12"/>
        <v>1</v>
      </c>
      <c r="I242">
        <f t="shared" si="13"/>
        <v>1</v>
      </c>
      <c r="J242">
        <f t="shared" si="14"/>
        <v>1</v>
      </c>
      <c r="K242" s="3">
        <f t="shared" si="15"/>
        <v>2</v>
      </c>
    </row>
    <row r="243" spans="1:11" x14ac:dyDescent="0.35">
      <c r="A243" t="s">
        <v>11</v>
      </c>
      <c r="B243" t="s">
        <v>8</v>
      </c>
      <c r="C243" t="s">
        <v>21</v>
      </c>
      <c r="D243" t="s">
        <v>10</v>
      </c>
      <c r="E243">
        <v>2</v>
      </c>
      <c r="F243">
        <v>17.82</v>
      </c>
      <c r="G243">
        <v>1.75</v>
      </c>
      <c r="H243">
        <f t="shared" si="12"/>
        <v>1</v>
      </c>
      <c r="I243">
        <f t="shared" si="13"/>
        <v>0</v>
      </c>
      <c r="J243">
        <f t="shared" si="14"/>
        <v>1</v>
      </c>
      <c r="K243" s="3">
        <f t="shared" si="15"/>
        <v>2</v>
      </c>
    </row>
    <row r="244" spans="1:11" x14ac:dyDescent="0.35">
      <c r="A244" t="s">
        <v>7</v>
      </c>
      <c r="B244" t="s">
        <v>8</v>
      </c>
      <c r="C244" t="s">
        <v>23</v>
      </c>
      <c r="D244" t="s">
        <v>10</v>
      </c>
      <c r="E244">
        <v>2</v>
      </c>
      <c r="F244">
        <v>18.78</v>
      </c>
      <c r="G244">
        <v>3</v>
      </c>
      <c r="H244">
        <f t="shared" si="12"/>
        <v>0</v>
      </c>
      <c r="I244">
        <f t="shared" si="13"/>
        <v>0</v>
      </c>
      <c r="J244">
        <f t="shared" si="14"/>
        <v>1</v>
      </c>
      <c r="K244" s="3">
        <f t="shared" si="15"/>
        <v>3</v>
      </c>
    </row>
  </sheetData>
  <conditionalFormatting sqref="A1:L6 A7:K24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4"/>
  <sheetViews>
    <sheetView workbookViewId="0">
      <selection activeCell="O21" sqref="O21"/>
    </sheetView>
  </sheetViews>
  <sheetFormatPr defaultRowHeight="14.5" x14ac:dyDescent="0.35"/>
  <cols>
    <col min="1" max="1" width="14.36328125" customWidth="1"/>
    <col min="2" max="2" width="15" customWidth="1"/>
  </cols>
  <sheetData>
    <row r="1" spans="1:13" x14ac:dyDescent="0.35">
      <c r="A1" s="20" t="s">
        <v>5</v>
      </c>
      <c r="B1" s="20" t="s">
        <v>6</v>
      </c>
      <c r="H1" s="23" t="s">
        <v>62</v>
      </c>
      <c r="I1" s="24"/>
      <c r="J1" s="24"/>
      <c r="K1" s="24"/>
      <c r="L1" s="24"/>
      <c r="M1" s="24"/>
    </row>
    <row r="2" spans="1:13" x14ac:dyDescent="0.35">
      <c r="A2" s="21">
        <v>16.989999999999998</v>
      </c>
      <c r="B2" s="21">
        <v>1.01</v>
      </c>
    </row>
    <row r="3" spans="1:13" x14ac:dyDescent="0.35">
      <c r="A3" s="22">
        <v>10.34</v>
      </c>
      <c r="B3" s="22">
        <v>1.66</v>
      </c>
    </row>
    <row r="4" spans="1:13" x14ac:dyDescent="0.35">
      <c r="A4" s="21">
        <v>21.01</v>
      </c>
      <c r="B4" s="21">
        <v>3.5</v>
      </c>
    </row>
    <row r="5" spans="1:13" x14ac:dyDescent="0.35">
      <c r="A5" s="22">
        <v>23.68</v>
      </c>
      <c r="B5" s="22">
        <v>3.31</v>
      </c>
    </row>
    <row r="6" spans="1:13" x14ac:dyDescent="0.35">
      <c r="A6" s="21">
        <v>24.59</v>
      </c>
      <c r="B6" s="21">
        <v>3.61</v>
      </c>
    </row>
    <row r="7" spans="1:13" x14ac:dyDescent="0.35">
      <c r="A7" s="22">
        <v>25.29</v>
      </c>
      <c r="B7" s="22">
        <v>4.71</v>
      </c>
    </row>
    <row r="8" spans="1:13" x14ac:dyDescent="0.35">
      <c r="A8" s="21">
        <v>8.77</v>
      </c>
      <c r="B8" s="21">
        <v>2</v>
      </c>
    </row>
    <row r="9" spans="1:13" x14ac:dyDescent="0.35">
      <c r="A9" s="22">
        <v>26.88</v>
      </c>
      <c r="B9" s="22">
        <v>3.12</v>
      </c>
    </row>
    <row r="10" spans="1:13" x14ac:dyDescent="0.35">
      <c r="A10" s="21">
        <v>15.04</v>
      </c>
      <c r="B10" s="21">
        <v>1.96</v>
      </c>
    </row>
    <row r="11" spans="1:13" x14ac:dyDescent="0.35">
      <c r="A11" s="22">
        <v>14.78</v>
      </c>
      <c r="B11" s="22">
        <v>3.23</v>
      </c>
    </row>
    <row r="12" spans="1:13" x14ac:dyDescent="0.35">
      <c r="A12" s="21">
        <v>10.27</v>
      </c>
      <c r="B12" s="21">
        <v>1.71</v>
      </c>
    </row>
    <row r="13" spans="1:13" x14ac:dyDescent="0.35">
      <c r="A13" s="22">
        <v>35.26</v>
      </c>
      <c r="B13" s="22">
        <v>5</v>
      </c>
    </row>
    <row r="14" spans="1:13" x14ac:dyDescent="0.35">
      <c r="A14" s="21">
        <v>15.42</v>
      </c>
      <c r="B14" s="21">
        <v>1.57</v>
      </c>
    </row>
    <row r="15" spans="1:13" x14ac:dyDescent="0.35">
      <c r="A15" s="22">
        <v>18.43</v>
      </c>
      <c r="B15" s="22">
        <v>3</v>
      </c>
    </row>
    <row r="16" spans="1:13" x14ac:dyDescent="0.35">
      <c r="A16" s="21">
        <v>14.83</v>
      </c>
      <c r="B16" s="21">
        <v>3.02</v>
      </c>
    </row>
    <row r="17" spans="1:2" x14ac:dyDescent="0.35">
      <c r="A17" s="22">
        <v>21.58</v>
      </c>
      <c r="B17" s="22">
        <v>3.92</v>
      </c>
    </row>
    <row r="18" spans="1:2" x14ac:dyDescent="0.35">
      <c r="A18" s="21">
        <v>10.33</v>
      </c>
      <c r="B18" s="21">
        <v>1.67</v>
      </c>
    </row>
    <row r="19" spans="1:2" x14ac:dyDescent="0.35">
      <c r="A19" s="22">
        <v>16.29</v>
      </c>
      <c r="B19" s="22">
        <v>3.71</v>
      </c>
    </row>
    <row r="20" spans="1:2" x14ac:dyDescent="0.35">
      <c r="A20" s="21">
        <v>16.97</v>
      </c>
      <c r="B20" s="21">
        <v>3.5</v>
      </c>
    </row>
    <row r="21" spans="1:2" x14ac:dyDescent="0.35">
      <c r="A21" s="22">
        <v>20.65</v>
      </c>
      <c r="B21" s="22">
        <v>3.35</v>
      </c>
    </row>
    <row r="22" spans="1:2" x14ac:dyDescent="0.35">
      <c r="A22" s="21">
        <v>17.920000000000002</v>
      </c>
      <c r="B22" s="21">
        <v>4.08</v>
      </c>
    </row>
    <row r="23" spans="1:2" x14ac:dyDescent="0.35">
      <c r="A23" s="22">
        <v>20.29</v>
      </c>
      <c r="B23" s="22">
        <v>2.75</v>
      </c>
    </row>
    <row r="24" spans="1:2" x14ac:dyDescent="0.35">
      <c r="A24" s="21">
        <v>15.77</v>
      </c>
      <c r="B24" s="21">
        <v>2.23</v>
      </c>
    </row>
    <row r="25" spans="1:2" x14ac:dyDescent="0.35">
      <c r="A25" s="22">
        <v>39.42</v>
      </c>
      <c r="B25" s="22">
        <v>7.58</v>
      </c>
    </row>
    <row r="26" spans="1:2" x14ac:dyDescent="0.35">
      <c r="A26" s="21">
        <v>19.82</v>
      </c>
      <c r="B26" s="21">
        <v>3.18</v>
      </c>
    </row>
    <row r="27" spans="1:2" x14ac:dyDescent="0.35">
      <c r="A27" s="22">
        <v>17.809999999999999</v>
      </c>
      <c r="B27" s="22">
        <v>2.34</v>
      </c>
    </row>
    <row r="28" spans="1:2" x14ac:dyDescent="0.35">
      <c r="A28" s="21">
        <v>13.37</v>
      </c>
      <c r="B28" s="21">
        <v>2</v>
      </c>
    </row>
    <row r="29" spans="1:2" x14ac:dyDescent="0.35">
      <c r="A29" s="22">
        <v>12.69</v>
      </c>
      <c r="B29" s="22">
        <v>2</v>
      </c>
    </row>
    <row r="30" spans="1:2" x14ac:dyDescent="0.35">
      <c r="A30" s="21">
        <v>21.7</v>
      </c>
      <c r="B30" s="21">
        <v>4.3</v>
      </c>
    </row>
    <row r="31" spans="1:2" x14ac:dyDescent="0.35">
      <c r="A31" s="22">
        <v>19.649999999999999</v>
      </c>
      <c r="B31" s="22">
        <v>3</v>
      </c>
    </row>
    <row r="32" spans="1:2" x14ac:dyDescent="0.35">
      <c r="A32" s="21">
        <v>9.5500000000000007</v>
      </c>
      <c r="B32" s="21">
        <v>1.45</v>
      </c>
    </row>
    <row r="33" spans="1:2" x14ac:dyDescent="0.35">
      <c r="A33" s="22">
        <v>18.350000000000001</v>
      </c>
      <c r="B33" s="22">
        <v>2.5</v>
      </c>
    </row>
    <row r="34" spans="1:2" x14ac:dyDescent="0.35">
      <c r="A34" s="21">
        <v>15.06</v>
      </c>
      <c r="B34" s="21">
        <v>3</v>
      </c>
    </row>
    <row r="35" spans="1:2" x14ac:dyDescent="0.35">
      <c r="A35" s="22">
        <v>20.69</v>
      </c>
      <c r="B35" s="22">
        <v>2.4500000000000002</v>
      </c>
    </row>
    <row r="36" spans="1:2" x14ac:dyDescent="0.35">
      <c r="A36" s="21">
        <v>17.78</v>
      </c>
      <c r="B36" s="21">
        <v>3.27</v>
      </c>
    </row>
    <row r="37" spans="1:2" x14ac:dyDescent="0.35">
      <c r="A37" s="22">
        <v>24.06</v>
      </c>
      <c r="B37" s="22">
        <v>3.6</v>
      </c>
    </row>
    <row r="38" spans="1:2" x14ac:dyDescent="0.35">
      <c r="A38" s="21">
        <v>16.309999999999999</v>
      </c>
      <c r="B38" s="21">
        <v>2</v>
      </c>
    </row>
    <row r="39" spans="1:2" x14ac:dyDescent="0.35">
      <c r="A39" s="22">
        <v>16.93</v>
      </c>
      <c r="B39" s="22">
        <v>3.07</v>
      </c>
    </row>
    <row r="40" spans="1:2" x14ac:dyDescent="0.35">
      <c r="A40" s="21">
        <v>18.690000000000001</v>
      </c>
      <c r="B40" s="21">
        <v>2.31</v>
      </c>
    </row>
    <row r="41" spans="1:2" x14ac:dyDescent="0.35">
      <c r="A41" s="22">
        <v>31.27</v>
      </c>
      <c r="B41" s="22">
        <v>5</v>
      </c>
    </row>
    <row r="42" spans="1:2" x14ac:dyDescent="0.35">
      <c r="A42" s="21">
        <v>16.04</v>
      </c>
      <c r="B42" s="21">
        <v>2.2400000000000002</v>
      </c>
    </row>
    <row r="43" spans="1:2" x14ac:dyDescent="0.35">
      <c r="A43" s="22">
        <v>17.46</v>
      </c>
      <c r="B43" s="22">
        <v>2.54</v>
      </c>
    </row>
    <row r="44" spans="1:2" x14ac:dyDescent="0.35">
      <c r="A44" s="21">
        <v>13.94</v>
      </c>
      <c r="B44" s="21">
        <v>3.06</v>
      </c>
    </row>
    <row r="45" spans="1:2" x14ac:dyDescent="0.35">
      <c r="A45" s="22">
        <v>9.68</v>
      </c>
      <c r="B45" s="22">
        <v>1.32</v>
      </c>
    </row>
    <row r="46" spans="1:2" x14ac:dyDescent="0.35">
      <c r="A46" s="21">
        <v>30.4</v>
      </c>
      <c r="B46" s="21">
        <v>5.6</v>
      </c>
    </row>
    <row r="47" spans="1:2" x14ac:dyDescent="0.35">
      <c r="A47" s="22">
        <v>18.29</v>
      </c>
      <c r="B47" s="22">
        <v>3</v>
      </c>
    </row>
    <row r="48" spans="1:2" x14ac:dyDescent="0.35">
      <c r="A48" s="21">
        <v>22.23</v>
      </c>
      <c r="B48" s="21">
        <v>5</v>
      </c>
    </row>
    <row r="49" spans="1:2" x14ac:dyDescent="0.35">
      <c r="A49" s="22">
        <v>32.4</v>
      </c>
      <c r="B49" s="22">
        <v>6</v>
      </c>
    </row>
    <row r="50" spans="1:2" x14ac:dyDescent="0.35">
      <c r="A50" s="21">
        <v>28.55</v>
      </c>
      <c r="B50" s="21">
        <v>2.0499999999999998</v>
      </c>
    </row>
    <row r="51" spans="1:2" x14ac:dyDescent="0.35">
      <c r="A51" s="22">
        <v>18.04</v>
      </c>
      <c r="B51" s="22">
        <v>3</v>
      </c>
    </row>
    <row r="52" spans="1:2" x14ac:dyDescent="0.35">
      <c r="A52" s="21">
        <v>12.54</v>
      </c>
      <c r="B52" s="21">
        <v>2.5</v>
      </c>
    </row>
    <row r="53" spans="1:2" x14ac:dyDescent="0.35">
      <c r="A53" s="22">
        <v>10.29</v>
      </c>
      <c r="B53" s="22">
        <v>2.6</v>
      </c>
    </row>
    <row r="54" spans="1:2" x14ac:dyDescent="0.35">
      <c r="A54" s="21">
        <v>34.81</v>
      </c>
      <c r="B54" s="21">
        <v>5.2</v>
      </c>
    </row>
    <row r="55" spans="1:2" x14ac:dyDescent="0.35">
      <c r="A55" s="22">
        <v>9.94</v>
      </c>
      <c r="B55" s="22">
        <v>1.56</v>
      </c>
    </row>
    <row r="56" spans="1:2" x14ac:dyDescent="0.35">
      <c r="A56" s="21">
        <v>25.56</v>
      </c>
      <c r="B56" s="21">
        <v>4.34</v>
      </c>
    </row>
    <row r="57" spans="1:2" x14ac:dyDescent="0.35">
      <c r="A57" s="22">
        <v>19.489999999999998</v>
      </c>
      <c r="B57" s="22">
        <v>3.51</v>
      </c>
    </row>
    <row r="58" spans="1:2" x14ac:dyDescent="0.35">
      <c r="A58" s="21">
        <v>38.01</v>
      </c>
      <c r="B58" s="21">
        <v>3</v>
      </c>
    </row>
    <row r="59" spans="1:2" x14ac:dyDescent="0.35">
      <c r="A59" s="22">
        <v>26.41</v>
      </c>
      <c r="B59" s="22">
        <v>1.5</v>
      </c>
    </row>
    <row r="60" spans="1:2" x14ac:dyDescent="0.35">
      <c r="A60" s="21">
        <v>11.24</v>
      </c>
      <c r="B60" s="21">
        <v>1.76</v>
      </c>
    </row>
    <row r="61" spans="1:2" x14ac:dyDescent="0.35">
      <c r="A61" s="22">
        <v>48.27</v>
      </c>
      <c r="B61" s="22">
        <v>6.73</v>
      </c>
    </row>
    <row r="62" spans="1:2" x14ac:dyDescent="0.35">
      <c r="A62" s="21">
        <v>20.29</v>
      </c>
      <c r="B62" s="21">
        <v>3.21</v>
      </c>
    </row>
    <row r="63" spans="1:2" x14ac:dyDescent="0.35">
      <c r="A63" s="22">
        <v>13.81</v>
      </c>
      <c r="B63" s="22">
        <v>2</v>
      </c>
    </row>
    <row r="64" spans="1:2" x14ac:dyDescent="0.35">
      <c r="A64" s="21">
        <v>11.02</v>
      </c>
      <c r="B64" s="21">
        <v>1.98</v>
      </c>
    </row>
    <row r="65" spans="1:2" x14ac:dyDescent="0.35">
      <c r="A65" s="22">
        <v>18.29</v>
      </c>
      <c r="B65" s="22">
        <v>3.76</v>
      </c>
    </row>
    <row r="66" spans="1:2" x14ac:dyDescent="0.35">
      <c r="A66" s="21">
        <v>17.59</v>
      </c>
      <c r="B66" s="21">
        <v>2.64</v>
      </c>
    </row>
    <row r="67" spans="1:2" x14ac:dyDescent="0.35">
      <c r="A67" s="22">
        <v>20.079999999999998</v>
      </c>
      <c r="B67" s="22">
        <v>3.15</v>
      </c>
    </row>
    <row r="68" spans="1:2" x14ac:dyDescent="0.35">
      <c r="A68" s="21">
        <v>16.45</v>
      </c>
      <c r="B68" s="21">
        <v>2.4700000000000002</v>
      </c>
    </row>
    <row r="69" spans="1:2" x14ac:dyDescent="0.35">
      <c r="A69" s="22">
        <v>3.07</v>
      </c>
      <c r="B69" s="22">
        <v>1</v>
      </c>
    </row>
    <row r="70" spans="1:2" x14ac:dyDescent="0.35">
      <c r="A70" s="21">
        <v>20.23</v>
      </c>
      <c r="B70" s="21">
        <v>2.0099999999999998</v>
      </c>
    </row>
    <row r="71" spans="1:2" x14ac:dyDescent="0.35">
      <c r="A71" s="22">
        <v>15.01</v>
      </c>
      <c r="B71" s="22">
        <v>2.09</v>
      </c>
    </row>
    <row r="72" spans="1:2" x14ac:dyDescent="0.35">
      <c r="A72" s="21">
        <v>12.02</v>
      </c>
      <c r="B72" s="21">
        <v>1.97</v>
      </c>
    </row>
    <row r="73" spans="1:2" x14ac:dyDescent="0.35">
      <c r="A73" s="22">
        <v>17.07</v>
      </c>
      <c r="B73" s="22">
        <v>3</v>
      </c>
    </row>
    <row r="74" spans="1:2" x14ac:dyDescent="0.35">
      <c r="A74" s="21">
        <v>26.86</v>
      </c>
      <c r="B74" s="21">
        <v>3.14</v>
      </c>
    </row>
    <row r="75" spans="1:2" x14ac:dyDescent="0.35">
      <c r="A75" s="22">
        <v>25.28</v>
      </c>
      <c r="B75" s="22">
        <v>5</v>
      </c>
    </row>
    <row r="76" spans="1:2" x14ac:dyDescent="0.35">
      <c r="A76" s="21">
        <v>14.73</v>
      </c>
      <c r="B76" s="21">
        <v>2.2000000000000002</v>
      </c>
    </row>
    <row r="77" spans="1:2" x14ac:dyDescent="0.35">
      <c r="A77" s="22">
        <v>10.51</v>
      </c>
      <c r="B77" s="22">
        <v>1.25</v>
      </c>
    </row>
    <row r="78" spans="1:2" x14ac:dyDescent="0.35">
      <c r="A78" s="21">
        <v>17.920000000000002</v>
      </c>
      <c r="B78" s="21">
        <v>3.08</v>
      </c>
    </row>
    <row r="79" spans="1:2" x14ac:dyDescent="0.35">
      <c r="A79" s="22">
        <v>27.2</v>
      </c>
      <c r="B79" s="22">
        <v>4</v>
      </c>
    </row>
    <row r="80" spans="1:2" x14ac:dyDescent="0.35">
      <c r="A80" s="21">
        <v>22.76</v>
      </c>
      <c r="B80" s="21">
        <v>3</v>
      </c>
    </row>
    <row r="81" spans="1:2" x14ac:dyDescent="0.35">
      <c r="A81" s="22">
        <v>17.29</v>
      </c>
      <c r="B81" s="22">
        <v>2.71</v>
      </c>
    </row>
    <row r="82" spans="1:2" x14ac:dyDescent="0.35">
      <c r="A82" s="21">
        <v>19.440000000000001</v>
      </c>
      <c r="B82" s="21">
        <v>3</v>
      </c>
    </row>
    <row r="83" spans="1:2" x14ac:dyDescent="0.35">
      <c r="A83" s="22">
        <v>16.66</v>
      </c>
      <c r="B83" s="22">
        <v>3.4</v>
      </c>
    </row>
    <row r="84" spans="1:2" x14ac:dyDescent="0.35">
      <c r="A84" s="21">
        <v>10.07</v>
      </c>
      <c r="B84" s="21">
        <v>1.83</v>
      </c>
    </row>
    <row r="85" spans="1:2" x14ac:dyDescent="0.35">
      <c r="A85" s="22">
        <v>32.68</v>
      </c>
      <c r="B85" s="22">
        <v>5</v>
      </c>
    </row>
    <row r="86" spans="1:2" x14ac:dyDescent="0.35">
      <c r="A86" s="21">
        <v>15.98</v>
      </c>
      <c r="B86" s="21">
        <v>2.0299999999999998</v>
      </c>
    </row>
    <row r="87" spans="1:2" x14ac:dyDescent="0.35">
      <c r="A87" s="22">
        <v>34.83</v>
      </c>
      <c r="B87" s="22">
        <v>5.17</v>
      </c>
    </row>
    <row r="88" spans="1:2" x14ac:dyDescent="0.35">
      <c r="A88" s="21">
        <v>13.03</v>
      </c>
      <c r="B88" s="21">
        <v>2</v>
      </c>
    </row>
    <row r="89" spans="1:2" x14ac:dyDescent="0.35">
      <c r="A89" s="22">
        <v>18.28</v>
      </c>
      <c r="B89" s="22">
        <v>4</v>
      </c>
    </row>
    <row r="90" spans="1:2" x14ac:dyDescent="0.35">
      <c r="A90" s="21">
        <v>24.71</v>
      </c>
      <c r="B90" s="21">
        <v>5.85</v>
      </c>
    </row>
    <row r="91" spans="1:2" x14ac:dyDescent="0.35">
      <c r="A91" s="22">
        <v>21.16</v>
      </c>
      <c r="B91" s="22">
        <v>3</v>
      </c>
    </row>
    <row r="92" spans="1:2" x14ac:dyDescent="0.35">
      <c r="A92" s="21">
        <v>28.97</v>
      </c>
      <c r="B92" s="21">
        <v>3</v>
      </c>
    </row>
    <row r="93" spans="1:2" x14ac:dyDescent="0.35">
      <c r="A93" s="22">
        <v>22.49</v>
      </c>
      <c r="B93" s="22">
        <v>3.5</v>
      </c>
    </row>
    <row r="94" spans="1:2" x14ac:dyDescent="0.35">
      <c r="A94" s="21">
        <v>5.75</v>
      </c>
      <c r="B94" s="21">
        <v>1</v>
      </c>
    </row>
    <row r="95" spans="1:2" x14ac:dyDescent="0.35">
      <c r="A95" s="22">
        <v>16.32</v>
      </c>
      <c r="B95" s="22">
        <v>4.3</v>
      </c>
    </row>
    <row r="96" spans="1:2" x14ac:dyDescent="0.35">
      <c r="A96" s="21">
        <v>22.75</v>
      </c>
      <c r="B96" s="21">
        <v>3.25</v>
      </c>
    </row>
    <row r="97" spans="1:2" x14ac:dyDescent="0.35">
      <c r="A97" s="22">
        <v>40.17</v>
      </c>
      <c r="B97" s="22">
        <v>4.7300000000000004</v>
      </c>
    </row>
    <row r="98" spans="1:2" x14ac:dyDescent="0.35">
      <c r="A98" s="21">
        <v>27.28</v>
      </c>
      <c r="B98" s="21">
        <v>4</v>
      </c>
    </row>
    <row r="99" spans="1:2" x14ac:dyDescent="0.35">
      <c r="A99" s="22">
        <v>12.03</v>
      </c>
      <c r="B99" s="22">
        <v>1.5</v>
      </c>
    </row>
    <row r="100" spans="1:2" x14ac:dyDescent="0.35">
      <c r="A100" s="21">
        <v>21.01</v>
      </c>
      <c r="B100" s="21">
        <v>3</v>
      </c>
    </row>
    <row r="101" spans="1:2" x14ac:dyDescent="0.35">
      <c r="A101" s="22">
        <v>12.46</v>
      </c>
      <c r="B101" s="22">
        <v>1.5</v>
      </c>
    </row>
    <row r="102" spans="1:2" x14ac:dyDescent="0.35">
      <c r="A102" s="21">
        <v>11.35</v>
      </c>
      <c r="B102" s="21">
        <v>2.5</v>
      </c>
    </row>
    <row r="103" spans="1:2" x14ac:dyDescent="0.35">
      <c r="A103" s="22">
        <v>15.38</v>
      </c>
      <c r="B103" s="22">
        <v>3</v>
      </c>
    </row>
    <row r="104" spans="1:2" x14ac:dyDescent="0.35">
      <c r="A104" s="21">
        <v>44.3</v>
      </c>
      <c r="B104" s="21">
        <v>2.5</v>
      </c>
    </row>
    <row r="105" spans="1:2" x14ac:dyDescent="0.35">
      <c r="A105" s="22">
        <v>22.42</v>
      </c>
      <c r="B105" s="22">
        <v>3.48</v>
      </c>
    </row>
    <row r="106" spans="1:2" x14ac:dyDescent="0.35">
      <c r="A106" s="21">
        <v>20.92</v>
      </c>
      <c r="B106" s="21">
        <v>4.08</v>
      </c>
    </row>
    <row r="107" spans="1:2" x14ac:dyDescent="0.35">
      <c r="A107" s="22">
        <v>15.36</v>
      </c>
      <c r="B107" s="22">
        <v>1.64</v>
      </c>
    </row>
    <row r="108" spans="1:2" x14ac:dyDescent="0.35">
      <c r="A108" s="21">
        <v>20.49</v>
      </c>
      <c r="B108" s="21">
        <v>4.0599999999999996</v>
      </c>
    </row>
    <row r="109" spans="1:2" x14ac:dyDescent="0.35">
      <c r="A109" s="22">
        <v>25.21</v>
      </c>
      <c r="B109" s="22">
        <v>4.29</v>
      </c>
    </row>
    <row r="110" spans="1:2" x14ac:dyDescent="0.35">
      <c r="A110" s="21">
        <v>18.239999999999998</v>
      </c>
      <c r="B110" s="21">
        <v>3.76</v>
      </c>
    </row>
    <row r="111" spans="1:2" x14ac:dyDescent="0.35">
      <c r="A111" s="22">
        <v>14.31</v>
      </c>
      <c r="B111" s="22">
        <v>4</v>
      </c>
    </row>
    <row r="112" spans="1:2" x14ac:dyDescent="0.35">
      <c r="A112" s="21">
        <v>14</v>
      </c>
      <c r="B112" s="21">
        <v>3</v>
      </c>
    </row>
    <row r="113" spans="1:2" x14ac:dyDescent="0.35">
      <c r="A113" s="22">
        <v>7.25</v>
      </c>
      <c r="B113" s="22">
        <v>1</v>
      </c>
    </row>
    <row r="114" spans="1:2" x14ac:dyDescent="0.35">
      <c r="A114" s="21">
        <v>38.07</v>
      </c>
      <c r="B114" s="21">
        <v>4</v>
      </c>
    </row>
    <row r="115" spans="1:2" x14ac:dyDescent="0.35">
      <c r="A115" s="22">
        <v>23.95</v>
      </c>
      <c r="B115" s="22">
        <v>2.5499999999999998</v>
      </c>
    </row>
    <row r="116" spans="1:2" x14ac:dyDescent="0.35">
      <c r="A116" s="21">
        <v>25.71</v>
      </c>
      <c r="B116" s="21">
        <v>4</v>
      </c>
    </row>
    <row r="117" spans="1:2" x14ac:dyDescent="0.35">
      <c r="A117" s="22">
        <v>17.309999999999999</v>
      </c>
      <c r="B117" s="22">
        <v>3.5</v>
      </c>
    </row>
    <row r="118" spans="1:2" x14ac:dyDescent="0.35">
      <c r="A118" s="21">
        <v>29.93</v>
      </c>
      <c r="B118" s="21">
        <v>5.07</v>
      </c>
    </row>
    <row r="119" spans="1:2" x14ac:dyDescent="0.35">
      <c r="A119" s="22">
        <v>10.65</v>
      </c>
      <c r="B119" s="22">
        <v>1.5</v>
      </c>
    </row>
    <row r="120" spans="1:2" x14ac:dyDescent="0.35">
      <c r="A120" s="21">
        <v>12.43</v>
      </c>
      <c r="B120" s="21">
        <v>1.8</v>
      </c>
    </row>
    <row r="121" spans="1:2" x14ac:dyDescent="0.35">
      <c r="A121" s="22">
        <v>24.08</v>
      </c>
      <c r="B121" s="22">
        <v>2.92</v>
      </c>
    </row>
    <row r="122" spans="1:2" x14ac:dyDescent="0.35">
      <c r="A122" s="21">
        <v>11.69</v>
      </c>
      <c r="B122" s="21">
        <v>2.31</v>
      </c>
    </row>
    <row r="123" spans="1:2" x14ac:dyDescent="0.35">
      <c r="A123" s="22">
        <v>13.42</v>
      </c>
      <c r="B123" s="22">
        <v>1.68</v>
      </c>
    </row>
    <row r="124" spans="1:2" x14ac:dyDescent="0.35">
      <c r="A124" s="21">
        <v>14.26</v>
      </c>
      <c r="B124" s="21">
        <v>2.5</v>
      </c>
    </row>
    <row r="125" spans="1:2" x14ac:dyDescent="0.35">
      <c r="A125" s="22">
        <v>15.95</v>
      </c>
      <c r="B125" s="22">
        <v>2</v>
      </c>
    </row>
    <row r="126" spans="1:2" x14ac:dyDescent="0.35">
      <c r="A126" s="21">
        <v>12.48</v>
      </c>
      <c r="B126" s="21">
        <v>2.52</v>
      </c>
    </row>
    <row r="127" spans="1:2" x14ac:dyDescent="0.35">
      <c r="A127" s="22">
        <v>29.8</v>
      </c>
      <c r="B127" s="22">
        <v>4.2</v>
      </c>
    </row>
    <row r="128" spans="1:2" x14ac:dyDescent="0.35">
      <c r="A128" s="21">
        <v>8.52</v>
      </c>
      <c r="B128" s="21">
        <v>1.48</v>
      </c>
    </row>
    <row r="129" spans="1:2" x14ac:dyDescent="0.35">
      <c r="A129" s="22">
        <v>14.52</v>
      </c>
      <c r="B129" s="22">
        <v>2</v>
      </c>
    </row>
    <row r="130" spans="1:2" x14ac:dyDescent="0.35">
      <c r="A130" s="21">
        <v>11.38</v>
      </c>
      <c r="B130" s="21">
        <v>2</v>
      </c>
    </row>
    <row r="131" spans="1:2" x14ac:dyDescent="0.35">
      <c r="A131" s="22">
        <v>22.82</v>
      </c>
      <c r="B131" s="22">
        <v>2.1800000000000002</v>
      </c>
    </row>
    <row r="132" spans="1:2" x14ac:dyDescent="0.35">
      <c r="A132" s="21">
        <v>19.079999999999998</v>
      </c>
      <c r="B132" s="21">
        <v>1.5</v>
      </c>
    </row>
    <row r="133" spans="1:2" x14ac:dyDescent="0.35">
      <c r="A133" s="22">
        <v>20.27</v>
      </c>
      <c r="B133" s="22">
        <v>2.83</v>
      </c>
    </row>
    <row r="134" spans="1:2" x14ac:dyDescent="0.35">
      <c r="A134" s="21">
        <v>11.17</v>
      </c>
      <c r="B134" s="21">
        <v>1.5</v>
      </c>
    </row>
    <row r="135" spans="1:2" x14ac:dyDescent="0.35">
      <c r="A135" s="22">
        <v>12.26</v>
      </c>
      <c r="B135" s="22">
        <v>2</v>
      </c>
    </row>
    <row r="136" spans="1:2" x14ac:dyDescent="0.35">
      <c r="A136" s="21">
        <v>18.260000000000002</v>
      </c>
      <c r="B136" s="21">
        <v>3.25</v>
      </c>
    </row>
    <row r="137" spans="1:2" x14ac:dyDescent="0.35">
      <c r="A137" s="22">
        <v>8.51</v>
      </c>
      <c r="B137" s="22">
        <v>1.25</v>
      </c>
    </row>
    <row r="138" spans="1:2" x14ac:dyDescent="0.35">
      <c r="A138" s="21">
        <v>10.33</v>
      </c>
      <c r="B138" s="21">
        <v>2</v>
      </c>
    </row>
    <row r="139" spans="1:2" x14ac:dyDescent="0.35">
      <c r="A139" s="22">
        <v>14.15</v>
      </c>
      <c r="B139" s="22">
        <v>2</v>
      </c>
    </row>
    <row r="140" spans="1:2" x14ac:dyDescent="0.35">
      <c r="A140" s="21">
        <v>16</v>
      </c>
      <c r="B140" s="21">
        <v>2</v>
      </c>
    </row>
    <row r="141" spans="1:2" x14ac:dyDescent="0.35">
      <c r="A141" s="22">
        <v>13.16</v>
      </c>
      <c r="B141" s="22">
        <v>2.75</v>
      </c>
    </row>
    <row r="142" spans="1:2" x14ac:dyDescent="0.35">
      <c r="A142" s="21">
        <v>17.47</v>
      </c>
      <c r="B142" s="21">
        <v>3.5</v>
      </c>
    </row>
    <row r="143" spans="1:2" x14ac:dyDescent="0.35">
      <c r="A143" s="22">
        <v>34.299999999999997</v>
      </c>
      <c r="B143" s="22">
        <v>6.7</v>
      </c>
    </row>
    <row r="144" spans="1:2" x14ac:dyDescent="0.35">
      <c r="A144" s="21">
        <v>41.19</v>
      </c>
      <c r="B144" s="21">
        <v>5</v>
      </c>
    </row>
    <row r="145" spans="1:2" x14ac:dyDescent="0.35">
      <c r="A145" s="22">
        <v>27.05</v>
      </c>
      <c r="B145" s="22">
        <v>5</v>
      </c>
    </row>
    <row r="146" spans="1:2" x14ac:dyDescent="0.35">
      <c r="A146" s="21">
        <v>16.43</v>
      </c>
      <c r="B146" s="21">
        <v>2.2999999999999998</v>
      </c>
    </row>
    <row r="147" spans="1:2" x14ac:dyDescent="0.35">
      <c r="A147" s="22">
        <v>8.35</v>
      </c>
      <c r="B147" s="22">
        <v>1.5</v>
      </c>
    </row>
    <row r="148" spans="1:2" x14ac:dyDescent="0.35">
      <c r="A148" s="21">
        <v>18.64</v>
      </c>
      <c r="B148" s="21">
        <v>1.36</v>
      </c>
    </row>
    <row r="149" spans="1:2" x14ac:dyDescent="0.35">
      <c r="A149" s="22">
        <v>11.87</v>
      </c>
      <c r="B149" s="22">
        <v>1.63</v>
      </c>
    </row>
    <row r="150" spans="1:2" x14ac:dyDescent="0.35">
      <c r="A150" s="21">
        <v>9.7799999999999994</v>
      </c>
      <c r="B150" s="21">
        <v>1.73</v>
      </c>
    </row>
    <row r="151" spans="1:2" x14ac:dyDescent="0.35">
      <c r="A151" s="22">
        <v>7.51</v>
      </c>
      <c r="B151" s="22">
        <v>2</v>
      </c>
    </row>
    <row r="152" spans="1:2" x14ac:dyDescent="0.35">
      <c r="A152" s="21">
        <v>14.07</v>
      </c>
      <c r="B152" s="21">
        <v>2.5</v>
      </c>
    </row>
    <row r="153" spans="1:2" x14ac:dyDescent="0.35">
      <c r="A153" s="22">
        <v>13.13</v>
      </c>
      <c r="B153" s="22">
        <v>2</v>
      </c>
    </row>
    <row r="154" spans="1:2" x14ac:dyDescent="0.35">
      <c r="A154" s="21">
        <v>17.260000000000002</v>
      </c>
      <c r="B154" s="21">
        <v>2.74</v>
      </c>
    </row>
    <row r="155" spans="1:2" x14ac:dyDescent="0.35">
      <c r="A155" s="22">
        <v>24.55</v>
      </c>
      <c r="B155" s="22">
        <v>2</v>
      </c>
    </row>
    <row r="156" spans="1:2" x14ac:dyDescent="0.35">
      <c r="A156" s="21">
        <v>19.77</v>
      </c>
      <c r="B156" s="21">
        <v>2</v>
      </c>
    </row>
    <row r="157" spans="1:2" x14ac:dyDescent="0.35">
      <c r="A157" s="22">
        <v>29.85</v>
      </c>
      <c r="B157" s="22">
        <v>5.14</v>
      </c>
    </row>
    <row r="158" spans="1:2" x14ac:dyDescent="0.35">
      <c r="A158" s="21">
        <v>48.17</v>
      </c>
      <c r="B158" s="21">
        <v>5</v>
      </c>
    </row>
    <row r="159" spans="1:2" x14ac:dyDescent="0.35">
      <c r="A159" s="22">
        <v>25</v>
      </c>
      <c r="B159" s="22">
        <v>3.75</v>
      </c>
    </row>
    <row r="160" spans="1:2" x14ac:dyDescent="0.35">
      <c r="A160" s="21">
        <v>13.39</v>
      </c>
      <c r="B160" s="21">
        <v>2.61</v>
      </c>
    </row>
    <row r="161" spans="1:2" x14ac:dyDescent="0.35">
      <c r="A161" s="22">
        <v>16.489999999999998</v>
      </c>
      <c r="B161" s="22">
        <v>2</v>
      </c>
    </row>
    <row r="162" spans="1:2" x14ac:dyDescent="0.35">
      <c r="A162" s="21">
        <v>21.5</v>
      </c>
      <c r="B162" s="21">
        <v>3.5</v>
      </c>
    </row>
    <row r="163" spans="1:2" x14ac:dyDescent="0.35">
      <c r="A163" s="22">
        <v>12.66</v>
      </c>
      <c r="B163" s="22">
        <v>2.5</v>
      </c>
    </row>
    <row r="164" spans="1:2" x14ac:dyDescent="0.35">
      <c r="A164" s="21">
        <v>16.21</v>
      </c>
      <c r="B164" s="21">
        <v>2</v>
      </c>
    </row>
    <row r="165" spans="1:2" x14ac:dyDescent="0.35">
      <c r="A165" s="22">
        <v>13.81</v>
      </c>
      <c r="B165" s="22">
        <v>2</v>
      </c>
    </row>
    <row r="166" spans="1:2" x14ac:dyDescent="0.35">
      <c r="A166" s="21">
        <v>17.510000000000002</v>
      </c>
      <c r="B166" s="21">
        <v>3</v>
      </c>
    </row>
    <row r="167" spans="1:2" x14ac:dyDescent="0.35">
      <c r="A167" s="22">
        <v>24.52</v>
      </c>
      <c r="B167" s="22">
        <v>3.48</v>
      </c>
    </row>
    <row r="168" spans="1:2" x14ac:dyDescent="0.35">
      <c r="A168" s="21">
        <v>20.76</v>
      </c>
      <c r="B168" s="21">
        <v>2.2400000000000002</v>
      </c>
    </row>
    <row r="169" spans="1:2" x14ac:dyDescent="0.35">
      <c r="A169" s="22">
        <v>31.71</v>
      </c>
      <c r="B169" s="22">
        <v>4.5</v>
      </c>
    </row>
    <row r="170" spans="1:2" x14ac:dyDescent="0.35">
      <c r="A170" s="21">
        <v>10.59</v>
      </c>
      <c r="B170" s="21">
        <v>1.61</v>
      </c>
    </row>
    <row r="171" spans="1:2" x14ac:dyDescent="0.35">
      <c r="A171" s="22">
        <v>10.63</v>
      </c>
      <c r="B171" s="22">
        <v>2</v>
      </c>
    </row>
    <row r="172" spans="1:2" x14ac:dyDescent="0.35">
      <c r="A172" s="21">
        <v>50.81</v>
      </c>
      <c r="B172" s="21">
        <v>10</v>
      </c>
    </row>
    <row r="173" spans="1:2" x14ac:dyDescent="0.35">
      <c r="A173" s="22">
        <v>15.81</v>
      </c>
      <c r="B173" s="22">
        <v>3.16</v>
      </c>
    </row>
    <row r="174" spans="1:2" x14ac:dyDescent="0.35">
      <c r="A174" s="21">
        <v>7.25</v>
      </c>
      <c r="B174" s="21">
        <v>5.15</v>
      </c>
    </row>
    <row r="175" spans="1:2" x14ac:dyDescent="0.35">
      <c r="A175" s="22">
        <v>31.85</v>
      </c>
      <c r="B175" s="22">
        <v>3.18</v>
      </c>
    </row>
    <row r="176" spans="1:2" x14ac:dyDescent="0.35">
      <c r="A176" s="21">
        <v>16.82</v>
      </c>
      <c r="B176" s="21">
        <v>4</v>
      </c>
    </row>
    <row r="177" spans="1:2" x14ac:dyDescent="0.35">
      <c r="A177" s="22">
        <v>32.9</v>
      </c>
      <c r="B177" s="22">
        <v>3.11</v>
      </c>
    </row>
    <row r="178" spans="1:2" x14ac:dyDescent="0.35">
      <c r="A178" s="21">
        <v>17.89</v>
      </c>
      <c r="B178" s="21">
        <v>2</v>
      </c>
    </row>
    <row r="179" spans="1:2" x14ac:dyDescent="0.35">
      <c r="A179" s="22">
        <v>14.48</v>
      </c>
      <c r="B179" s="22">
        <v>2</v>
      </c>
    </row>
    <row r="180" spans="1:2" x14ac:dyDescent="0.35">
      <c r="A180" s="21">
        <v>9.6</v>
      </c>
      <c r="B180" s="21">
        <v>4</v>
      </c>
    </row>
    <row r="181" spans="1:2" x14ac:dyDescent="0.35">
      <c r="A181" s="22">
        <v>34.630000000000003</v>
      </c>
      <c r="B181" s="22">
        <v>3.55</v>
      </c>
    </row>
    <row r="182" spans="1:2" x14ac:dyDescent="0.35">
      <c r="A182" s="21">
        <v>34.65</v>
      </c>
      <c r="B182" s="21">
        <v>3.68</v>
      </c>
    </row>
    <row r="183" spans="1:2" x14ac:dyDescent="0.35">
      <c r="A183" s="22">
        <v>23.33</v>
      </c>
      <c r="B183" s="22">
        <v>5.65</v>
      </c>
    </row>
    <row r="184" spans="1:2" x14ac:dyDescent="0.35">
      <c r="A184" s="21">
        <v>45.35</v>
      </c>
      <c r="B184" s="21">
        <v>3.5</v>
      </c>
    </row>
    <row r="185" spans="1:2" x14ac:dyDescent="0.35">
      <c r="A185" s="22">
        <v>23.17</v>
      </c>
      <c r="B185" s="22">
        <v>6.5</v>
      </c>
    </row>
    <row r="186" spans="1:2" x14ac:dyDescent="0.35">
      <c r="A186" s="21">
        <v>40.549999999999997</v>
      </c>
      <c r="B186" s="21">
        <v>3</v>
      </c>
    </row>
    <row r="187" spans="1:2" x14ac:dyDescent="0.35">
      <c r="A187" s="22">
        <v>20.69</v>
      </c>
      <c r="B187" s="22">
        <v>5</v>
      </c>
    </row>
    <row r="188" spans="1:2" x14ac:dyDescent="0.35">
      <c r="A188" s="21">
        <v>20.9</v>
      </c>
      <c r="B188" s="21">
        <v>3.5</v>
      </c>
    </row>
    <row r="189" spans="1:2" x14ac:dyDescent="0.35">
      <c r="A189" s="22">
        <v>30.46</v>
      </c>
      <c r="B189" s="22">
        <v>2</v>
      </c>
    </row>
    <row r="190" spans="1:2" x14ac:dyDescent="0.35">
      <c r="A190" s="21">
        <v>18.149999999999999</v>
      </c>
      <c r="B190" s="21">
        <v>3.5</v>
      </c>
    </row>
    <row r="191" spans="1:2" x14ac:dyDescent="0.35">
      <c r="A191" s="22">
        <v>23.1</v>
      </c>
      <c r="B191" s="22">
        <v>4</v>
      </c>
    </row>
    <row r="192" spans="1:2" x14ac:dyDescent="0.35">
      <c r="A192" s="21">
        <v>15.69</v>
      </c>
      <c r="B192" s="21">
        <v>1.5</v>
      </c>
    </row>
    <row r="193" spans="1:2" x14ac:dyDescent="0.35">
      <c r="A193" s="22">
        <v>19.809999999999999</v>
      </c>
      <c r="B193" s="22">
        <v>4.1900000000000004</v>
      </c>
    </row>
    <row r="194" spans="1:2" x14ac:dyDescent="0.35">
      <c r="A194" s="21">
        <v>28.44</v>
      </c>
      <c r="B194" s="21">
        <v>2.56</v>
      </c>
    </row>
    <row r="195" spans="1:2" x14ac:dyDescent="0.35">
      <c r="A195" s="22">
        <v>15.48</v>
      </c>
      <c r="B195" s="22">
        <v>2.02</v>
      </c>
    </row>
    <row r="196" spans="1:2" x14ac:dyDescent="0.35">
      <c r="A196" s="21">
        <v>16.579999999999998</v>
      </c>
      <c r="B196" s="21">
        <v>4</v>
      </c>
    </row>
    <row r="197" spans="1:2" x14ac:dyDescent="0.35">
      <c r="A197" s="22">
        <v>7.56</v>
      </c>
      <c r="B197" s="22">
        <v>1.44</v>
      </c>
    </row>
    <row r="198" spans="1:2" x14ac:dyDescent="0.35">
      <c r="A198" s="21">
        <v>10.34</v>
      </c>
      <c r="B198" s="21">
        <v>2</v>
      </c>
    </row>
    <row r="199" spans="1:2" x14ac:dyDescent="0.35">
      <c r="A199" s="22">
        <v>43.11</v>
      </c>
      <c r="B199" s="22">
        <v>5</v>
      </c>
    </row>
    <row r="200" spans="1:2" x14ac:dyDescent="0.35">
      <c r="A200" s="21">
        <v>13</v>
      </c>
      <c r="B200" s="21">
        <v>2</v>
      </c>
    </row>
    <row r="201" spans="1:2" x14ac:dyDescent="0.35">
      <c r="A201" s="22">
        <v>13.51</v>
      </c>
      <c r="B201" s="22">
        <v>2</v>
      </c>
    </row>
    <row r="202" spans="1:2" x14ac:dyDescent="0.35">
      <c r="A202" s="21">
        <v>18.71</v>
      </c>
      <c r="B202" s="21">
        <v>4</v>
      </c>
    </row>
    <row r="203" spans="1:2" x14ac:dyDescent="0.35">
      <c r="A203" s="22">
        <v>12.74</v>
      </c>
      <c r="B203" s="22">
        <v>2.0099999999999998</v>
      </c>
    </row>
    <row r="204" spans="1:2" x14ac:dyDescent="0.35">
      <c r="A204" s="21">
        <v>16.399999999999999</v>
      </c>
      <c r="B204" s="21">
        <v>2.5</v>
      </c>
    </row>
    <row r="205" spans="1:2" x14ac:dyDescent="0.35">
      <c r="A205" s="22">
        <v>20.53</v>
      </c>
      <c r="B205" s="22">
        <v>4</v>
      </c>
    </row>
    <row r="206" spans="1:2" x14ac:dyDescent="0.35">
      <c r="A206" s="21">
        <v>16.47</v>
      </c>
      <c r="B206" s="21">
        <v>3.23</v>
      </c>
    </row>
    <row r="207" spans="1:2" x14ac:dyDescent="0.35">
      <c r="A207" s="22">
        <v>26.59</v>
      </c>
      <c r="B207" s="22">
        <v>3.41</v>
      </c>
    </row>
    <row r="208" spans="1:2" x14ac:dyDescent="0.35">
      <c r="A208" s="21">
        <v>38.729999999999997</v>
      </c>
      <c r="B208" s="21">
        <v>3</v>
      </c>
    </row>
    <row r="209" spans="1:2" x14ac:dyDescent="0.35">
      <c r="A209" s="22">
        <v>24.27</v>
      </c>
      <c r="B209" s="22">
        <v>2.0299999999999998</v>
      </c>
    </row>
    <row r="210" spans="1:2" x14ac:dyDescent="0.35">
      <c r="A210" s="21">
        <v>12.76</v>
      </c>
      <c r="B210" s="21">
        <v>2.23</v>
      </c>
    </row>
    <row r="211" spans="1:2" x14ac:dyDescent="0.35">
      <c r="A211" s="22">
        <v>30.06</v>
      </c>
      <c r="B211" s="22">
        <v>2</v>
      </c>
    </row>
    <row r="212" spans="1:2" x14ac:dyDescent="0.35">
      <c r="A212" s="21">
        <v>25.89</v>
      </c>
      <c r="B212" s="21">
        <v>5.16</v>
      </c>
    </row>
    <row r="213" spans="1:2" x14ac:dyDescent="0.35">
      <c r="A213" s="22">
        <v>48.33</v>
      </c>
      <c r="B213" s="22">
        <v>9</v>
      </c>
    </row>
    <row r="214" spans="1:2" x14ac:dyDescent="0.35">
      <c r="A214" s="21">
        <v>13.27</v>
      </c>
      <c r="B214" s="21">
        <v>2.5</v>
      </c>
    </row>
    <row r="215" spans="1:2" x14ac:dyDescent="0.35">
      <c r="A215" s="22">
        <v>28.17</v>
      </c>
      <c r="B215" s="22">
        <v>6.5</v>
      </c>
    </row>
    <row r="216" spans="1:2" x14ac:dyDescent="0.35">
      <c r="A216" s="21">
        <v>12.9</v>
      </c>
      <c r="B216" s="21">
        <v>1.1000000000000001</v>
      </c>
    </row>
    <row r="217" spans="1:2" x14ac:dyDescent="0.35">
      <c r="A217" s="22">
        <v>28.15</v>
      </c>
      <c r="B217" s="22">
        <v>3</v>
      </c>
    </row>
    <row r="218" spans="1:2" x14ac:dyDescent="0.35">
      <c r="A218" s="21">
        <v>11.59</v>
      </c>
      <c r="B218" s="21">
        <v>1.5</v>
      </c>
    </row>
    <row r="219" spans="1:2" x14ac:dyDescent="0.35">
      <c r="A219" s="22">
        <v>7.74</v>
      </c>
      <c r="B219" s="22">
        <v>1.44</v>
      </c>
    </row>
    <row r="220" spans="1:2" x14ac:dyDescent="0.35">
      <c r="A220" s="21">
        <v>30.14</v>
      </c>
      <c r="B220" s="21">
        <v>3.09</v>
      </c>
    </row>
    <row r="221" spans="1:2" x14ac:dyDescent="0.35">
      <c r="A221" s="22">
        <v>12.16</v>
      </c>
      <c r="B221" s="22">
        <v>2.2000000000000002</v>
      </c>
    </row>
    <row r="222" spans="1:2" x14ac:dyDescent="0.35">
      <c r="A222" s="21">
        <v>13.42</v>
      </c>
      <c r="B222" s="21">
        <v>3.48</v>
      </c>
    </row>
    <row r="223" spans="1:2" x14ac:dyDescent="0.35">
      <c r="A223" s="22">
        <v>8.58</v>
      </c>
      <c r="B223" s="22">
        <v>1.92</v>
      </c>
    </row>
    <row r="224" spans="1:2" x14ac:dyDescent="0.35">
      <c r="A224" s="21">
        <v>15.98</v>
      </c>
      <c r="B224" s="21">
        <v>3</v>
      </c>
    </row>
    <row r="225" spans="1:2" x14ac:dyDescent="0.35">
      <c r="A225" s="22">
        <v>13.42</v>
      </c>
      <c r="B225" s="22">
        <v>1.58</v>
      </c>
    </row>
    <row r="226" spans="1:2" x14ac:dyDescent="0.35">
      <c r="A226" s="21">
        <v>16.27</v>
      </c>
      <c r="B226" s="21">
        <v>2.5</v>
      </c>
    </row>
    <row r="227" spans="1:2" x14ac:dyDescent="0.35">
      <c r="A227" s="22">
        <v>10.09</v>
      </c>
      <c r="B227" s="22">
        <v>2</v>
      </c>
    </row>
    <row r="228" spans="1:2" x14ac:dyDescent="0.35">
      <c r="A228" s="21">
        <v>20.45</v>
      </c>
      <c r="B228" s="21">
        <v>3</v>
      </c>
    </row>
    <row r="229" spans="1:2" x14ac:dyDescent="0.35">
      <c r="A229" s="22">
        <v>13.28</v>
      </c>
      <c r="B229" s="22">
        <v>2.72</v>
      </c>
    </row>
    <row r="230" spans="1:2" x14ac:dyDescent="0.35">
      <c r="A230" s="21">
        <v>22.12</v>
      </c>
      <c r="B230" s="21">
        <v>2.88</v>
      </c>
    </row>
    <row r="231" spans="1:2" x14ac:dyDescent="0.35">
      <c r="A231" s="22">
        <v>24.01</v>
      </c>
      <c r="B231" s="22">
        <v>2</v>
      </c>
    </row>
    <row r="232" spans="1:2" x14ac:dyDescent="0.35">
      <c r="A232" s="21">
        <v>15.69</v>
      </c>
      <c r="B232" s="21">
        <v>3</v>
      </c>
    </row>
    <row r="233" spans="1:2" x14ac:dyDescent="0.35">
      <c r="A233" s="22">
        <v>11.61</v>
      </c>
      <c r="B233" s="22">
        <v>3.39</v>
      </c>
    </row>
    <row r="234" spans="1:2" x14ac:dyDescent="0.35">
      <c r="A234" s="21">
        <v>10.77</v>
      </c>
      <c r="B234" s="21">
        <v>1.47</v>
      </c>
    </row>
    <row r="235" spans="1:2" x14ac:dyDescent="0.35">
      <c r="A235" s="22">
        <v>15.53</v>
      </c>
      <c r="B235" s="22">
        <v>3</v>
      </c>
    </row>
    <row r="236" spans="1:2" x14ac:dyDescent="0.35">
      <c r="A236" s="21">
        <v>10.07</v>
      </c>
      <c r="B236" s="21">
        <v>1.25</v>
      </c>
    </row>
    <row r="237" spans="1:2" x14ac:dyDescent="0.35">
      <c r="A237" s="22">
        <v>12.6</v>
      </c>
      <c r="B237" s="22">
        <v>1</v>
      </c>
    </row>
    <row r="238" spans="1:2" x14ac:dyDescent="0.35">
      <c r="A238" s="21">
        <v>32.83</v>
      </c>
      <c r="B238" s="21">
        <v>1.17</v>
      </c>
    </row>
    <row r="239" spans="1:2" x14ac:dyDescent="0.35">
      <c r="A239" s="22">
        <v>35.83</v>
      </c>
      <c r="B239" s="22">
        <v>4.67</v>
      </c>
    </row>
    <row r="240" spans="1:2" x14ac:dyDescent="0.35">
      <c r="A240" s="21">
        <v>29.03</v>
      </c>
      <c r="B240" s="21">
        <v>5.92</v>
      </c>
    </row>
    <row r="241" spans="1:2" x14ac:dyDescent="0.35">
      <c r="A241" s="22">
        <v>27.18</v>
      </c>
      <c r="B241" s="22">
        <v>2</v>
      </c>
    </row>
    <row r="242" spans="1:2" x14ac:dyDescent="0.35">
      <c r="A242" s="21">
        <v>22.67</v>
      </c>
      <c r="B242" s="21">
        <v>2</v>
      </c>
    </row>
    <row r="243" spans="1:2" x14ac:dyDescent="0.35">
      <c r="A243" s="22">
        <v>17.82</v>
      </c>
      <c r="B243" s="22">
        <v>1.75</v>
      </c>
    </row>
    <row r="244" spans="1:2" x14ac:dyDescent="0.35">
      <c r="A244" s="21">
        <v>18.78</v>
      </c>
      <c r="B244" s="21">
        <v>3</v>
      </c>
    </row>
  </sheetData>
  <conditionalFormatting sqref="A1:A24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:B24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topLeftCell="A41" workbookViewId="0">
      <selection activeCell="P13" sqref="P13"/>
    </sheetView>
  </sheetViews>
  <sheetFormatPr defaultRowHeight="14.5" x14ac:dyDescent="0.35"/>
  <cols>
    <col min="1" max="1" width="11.36328125" customWidth="1"/>
    <col min="12" max="12" width="14.81640625" customWidth="1"/>
    <col min="14" max="14" width="16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26</v>
      </c>
      <c r="H1" s="6" t="s">
        <v>27</v>
      </c>
      <c r="I1" s="5" t="s">
        <v>28</v>
      </c>
      <c r="J1" t="s">
        <v>29</v>
      </c>
      <c r="K1" t="s">
        <v>6</v>
      </c>
      <c r="L1" t="s">
        <v>59</v>
      </c>
      <c r="M1" t="s">
        <v>55</v>
      </c>
      <c r="N1" t="s">
        <v>56</v>
      </c>
    </row>
    <row r="2" spans="1:14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 s="7">
        <v>0</v>
      </c>
      <c r="H2" s="7">
        <v>0</v>
      </c>
      <c r="I2" s="7">
        <v>1</v>
      </c>
      <c r="J2" s="3">
        <f t="shared" ref="J2:J65" si="0">IF(C2="Sun",1,IF(C2="sat",2,IF(C2="thur",3,4)))</f>
        <v>1</v>
      </c>
      <c r="K2">
        <v>1.01</v>
      </c>
      <c r="L2">
        <f>0.775857+0.092604*F2+0.189177*E2-0.100181*H2+0.024859*I2+0.024544*J2-0.024922*K2</f>
        <v>2.7517847400000002</v>
      </c>
      <c r="M2">
        <f>K2-L2</f>
        <v>-1.7417847400000002</v>
      </c>
      <c r="N2" s="3">
        <f>M2^2</f>
        <v>3.0338140804968683</v>
      </c>
    </row>
    <row r="3" spans="1:14" x14ac:dyDescent="0.35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 s="9">
        <v>1</v>
      </c>
      <c r="H3" s="9">
        <v>0</v>
      </c>
      <c r="I3" s="9">
        <v>1</v>
      </c>
      <c r="J3" s="4">
        <f t="shared" si="0"/>
        <v>1</v>
      </c>
      <c r="K3">
        <v>1.66</v>
      </c>
      <c r="L3">
        <f>0.775857+0.092604*F3+0.189177*E3-0.100181*H3+0.024859*I3+0.024544*J3-0.024922*K3</f>
        <v>2.3089458400000002</v>
      </c>
      <c r="M3">
        <f t="shared" ref="M3:M65" si="1">K3-L3</f>
        <v>-0.64894584000000033</v>
      </c>
      <c r="N3" s="3">
        <f t="shared" ref="N3:N65" si="2">M3^2</f>
        <v>0.42113070325330604</v>
      </c>
    </row>
    <row r="4" spans="1:14" x14ac:dyDescent="0.35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 s="7">
        <v>1</v>
      </c>
      <c r="H4" s="7">
        <v>0</v>
      </c>
      <c r="I4" s="10">
        <v>1</v>
      </c>
      <c r="J4" s="4">
        <f t="shared" si="0"/>
        <v>1</v>
      </c>
      <c r="K4">
        <v>3.5</v>
      </c>
      <c r="L4">
        <f t="shared" ref="L4:L65" si="3">0.775857+0.092604*F4+0.189177*E4-0.100181*H4+0.024859*I4+0.024544*J4-0.024922*K4</f>
        <v>3.2511740400000004</v>
      </c>
      <c r="M4">
        <f t="shared" si="1"/>
        <v>0.24882595999999957</v>
      </c>
      <c r="N4" s="3">
        <f t="shared" si="2"/>
        <v>6.1914358369921388E-2</v>
      </c>
    </row>
    <row r="5" spans="1:14" x14ac:dyDescent="0.35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 s="9">
        <v>1</v>
      </c>
      <c r="H5" s="9">
        <v>0</v>
      </c>
      <c r="I5" s="11">
        <v>1</v>
      </c>
      <c r="J5" s="4">
        <f t="shared" si="0"/>
        <v>1</v>
      </c>
      <c r="K5">
        <v>3.31</v>
      </c>
      <c r="L5">
        <f t="shared" si="3"/>
        <v>3.3139849000000003</v>
      </c>
      <c r="M5">
        <f t="shared" si="1"/>
        <v>-3.984900000000291E-3</v>
      </c>
      <c r="N5" s="3">
        <f t="shared" si="2"/>
        <v>1.587942801000232E-5</v>
      </c>
    </row>
    <row r="6" spans="1:14" x14ac:dyDescent="0.35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 s="7">
        <v>0</v>
      </c>
      <c r="H6" s="7">
        <v>0</v>
      </c>
      <c r="I6" s="10">
        <v>1</v>
      </c>
      <c r="J6" s="4">
        <f t="shared" si="0"/>
        <v>1</v>
      </c>
      <c r="K6">
        <v>3.61</v>
      </c>
      <c r="L6">
        <f t="shared" si="3"/>
        <v>3.7691319400000003</v>
      </c>
      <c r="M6">
        <f t="shared" si="1"/>
        <v>-0.15913194000000042</v>
      </c>
      <c r="N6" s="3">
        <f t="shared" si="2"/>
        <v>2.5322974328163734E-2</v>
      </c>
    </row>
    <row r="7" spans="1:14" x14ac:dyDescent="0.35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 s="9">
        <v>1</v>
      </c>
      <c r="H7" s="9">
        <v>0</v>
      </c>
      <c r="I7" s="11">
        <v>1</v>
      </c>
      <c r="J7" s="4">
        <f t="shared" si="0"/>
        <v>1</v>
      </c>
      <c r="K7">
        <v>4.71</v>
      </c>
      <c r="L7">
        <f t="shared" si="3"/>
        <v>3.8065405400000003</v>
      </c>
      <c r="M7">
        <f t="shared" si="1"/>
        <v>0.90345945999999966</v>
      </c>
      <c r="N7" s="3">
        <f t="shared" si="2"/>
        <v>0.81623899586349102</v>
      </c>
    </row>
    <row r="8" spans="1:14" x14ac:dyDescent="0.35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 s="7">
        <v>1</v>
      </c>
      <c r="H8" s="7">
        <v>0</v>
      </c>
      <c r="I8" s="10">
        <v>1</v>
      </c>
      <c r="J8" s="4">
        <f t="shared" si="0"/>
        <v>1</v>
      </c>
      <c r="K8">
        <v>2</v>
      </c>
      <c r="L8">
        <f t="shared" si="3"/>
        <v>1.9659070800000003</v>
      </c>
      <c r="M8">
        <f t="shared" si="1"/>
        <v>3.4092919999999749E-2</v>
      </c>
      <c r="N8" s="3">
        <f t="shared" si="2"/>
        <v>1.1623271941263828E-3</v>
      </c>
    </row>
    <row r="9" spans="1:14" x14ac:dyDescent="0.35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 s="9">
        <v>1</v>
      </c>
      <c r="H9" s="9">
        <v>0</v>
      </c>
      <c r="I9" s="11">
        <v>1</v>
      </c>
      <c r="J9" s="4">
        <f t="shared" si="0"/>
        <v>1</v>
      </c>
      <c r="K9">
        <v>3.12</v>
      </c>
      <c r="L9">
        <f t="shared" si="3"/>
        <v>3.9934068799999998</v>
      </c>
      <c r="M9">
        <f t="shared" si="1"/>
        <v>-0.87340687999999966</v>
      </c>
      <c r="N9" s="3">
        <f t="shared" si="2"/>
        <v>0.76283957803133384</v>
      </c>
    </row>
    <row r="10" spans="1:14" x14ac:dyDescent="0.35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 s="7">
        <v>1</v>
      </c>
      <c r="H10" s="7">
        <v>0</v>
      </c>
      <c r="I10" s="7">
        <v>1</v>
      </c>
      <c r="J10" s="3">
        <f t="shared" si="0"/>
        <v>1</v>
      </c>
      <c r="K10">
        <v>1.96</v>
      </c>
      <c r="L10">
        <f t="shared" si="3"/>
        <v>2.54753104</v>
      </c>
      <c r="M10">
        <f t="shared" si="1"/>
        <v>-0.58753104</v>
      </c>
      <c r="N10" s="3">
        <f t="shared" si="2"/>
        <v>0.34519272296348158</v>
      </c>
    </row>
    <row r="11" spans="1:14" x14ac:dyDescent="0.35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 s="9">
        <v>1</v>
      </c>
      <c r="H11" s="9">
        <v>0</v>
      </c>
      <c r="I11" s="9">
        <v>1</v>
      </c>
      <c r="J11" s="3">
        <f t="shared" si="0"/>
        <v>1</v>
      </c>
      <c r="K11">
        <v>3.23</v>
      </c>
      <c r="L11">
        <f t="shared" si="3"/>
        <v>2.4918030600000001</v>
      </c>
      <c r="M11">
        <f t="shared" si="1"/>
        <v>0.73819693999999991</v>
      </c>
      <c r="N11" s="3">
        <f t="shared" si="2"/>
        <v>0.54493472222536343</v>
      </c>
    </row>
    <row r="12" spans="1:14" x14ac:dyDescent="0.35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 s="7">
        <v>1</v>
      </c>
      <c r="H12" s="7">
        <v>0</v>
      </c>
      <c r="I12" s="7">
        <v>1</v>
      </c>
      <c r="J12" s="3">
        <f t="shared" si="0"/>
        <v>1</v>
      </c>
      <c r="K12">
        <v>1.71</v>
      </c>
      <c r="L12">
        <f t="shared" si="3"/>
        <v>2.1120404600000002</v>
      </c>
      <c r="M12">
        <f t="shared" si="1"/>
        <v>-0.40204046000000027</v>
      </c>
      <c r="N12" s="3">
        <f t="shared" si="2"/>
        <v>0.16163653147701182</v>
      </c>
    </row>
    <row r="13" spans="1:14" x14ac:dyDescent="0.35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 s="9">
        <v>0</v>
      </c>
      <c r="H13" s="9">
        <v>0</v>
      </c>
      <c r="I13" s="9">
        <v>1</v>
      </c>
      <c r="J13" s="3">
        <f t="shared" si="0"/>
        <v>1</v>
      </c>
      <c r="K13">
        <v>5</v>
      </c>
      <c r="L13">
        <f t="shared" si="3"/>
        <v>4.7225750399999997</v>
      </c>
      <c r="M13">
        <f t="shared" si="1"/>
        <v>0.27742496000000028</v>
      </c>
      <c r="N13" s="3">
        <f t="shared" si="2"/>
        <v>7.6964608431001752E-2</v>
      </c>
    </row>
    <row r="14" spans="1:14" x14ac:dyDescent="0.35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 s="7">
        <v>1</v>
      </c>
      <c r="H14" s="7">
        <v>0</v>
      </c>
      <c r="I14" s="7">
        <v>1</v>
      </c>
      <c r="J14" s="3">
        <f t="shared" si="0"/>
        <v>1</v>
      </c>
      <c r="K14">
        <v>1.57</v>
      </c>
      <c r="L14">
        <f t="shared" si="3"/>
        <v>2.5924401400000003</v>
      </c>
      <c r="M14">
        <f t="shared" si="1"/>
        <v>-1.0224401400000003</v>
      </c>
      <c r="N14" s="3">
        <f t="shared" si="2"/>
        <v>1.0453838398832203</v>
      </c>
    </row>
    <row r="15" spans="1:14" x14ac:dyDescent="0.35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 s="9">
        <v>1</v>
      </c>
      <c r="H15" s="9">
        <v>0</v>
      </c>
      <c r="I15" s="9">
        <v>1</v>
      </c>
      <c r="J15" s="3">
        <f t="shared" si="0"/>
        <v>1</v>
      </c>
      <c r="K15">
        <v>3</v>
      </c>
      <c r="L15">
        <f t="shared" si="3"/>
        <v>3.2138937200000006</v>
      </c>
      <c r="M15">
        <f t="shared" si="1"/>
        <v>-0.21389372000000062</v>
      </c>
      <c r="N15" s="3">
        <f t="shared" si="2"/>
        <v>4.5750523455438667E-2</v>
      </c>
    </row>
    <row r="16" spans="1:14" x14ac:dyDescent="0.35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 s="7">
        <v>0</v>
      </c>
      <c r="H16" s="7">
        <v>0</v>
      </c>
      <c r="I16" s="7">
        <v>1</v>
      </c>
      <c r="J16" s="3">
        <f t="shared" si="0"/>
        <v>1</v>
      </c>
      <c r="K16">
        <v>3.02</v>
      </c>
      <c r="L16">
        <f t="shared" si="3"/>
        <v>2.5016668800000001</v>
      </c>
      <c r="M16">
        <f t="shared" si="1"/>
        <v>0.51833311999999987</v>
      </c>
      <c r="N16" s="3">
        <f t="shared" si="2"/>
        <v>0.26866922328893428</v>
      </c>
    </row>
    <row r="17" spans="1:14" x14ac:dyDescent="0.35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 s="9">
        <v>1</v>
      </c>
      <c r="H17" s="9">
        <v>0</v>
      </c>
      <c r="I17" s="9">
        <v>1</v>
      </c>
      <c r="J17" s="3">
        <f t="shared" si="0"/>
        <v>1</v>
      </c>
      <c r="K17">
        <v>3.92</v>
      </c>
      <c r="L17">
        <f t="shared" si="3"/>
        <v>3.1043140800000004</v>
      </c>
      <c r="M17">
        <f t="shared" si="1"/>
        <v>0.81568591999999951</v>
      </c>
      <c r="N17" s="3">
        <f t="shared" si="2"/>
        <v>0.66534352008624564</v>
      </c>
    </row>
    <row r="18" spans="1:14" x14ac:dyDescent="0.35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 s="7">
        <v>0</v>
      </c>
      <c r="H18" s="7">
        <v>0</v>
      </c>
      <c r="I18" s="7">
        <v>1</v>
      </c>
      <c r="J18" s="3">
        <f t="shared" si="0"/>
        <v>1</v>
      </c>
      <c r="K18">
        <v>1.67</v>
      </c>
      <c r="L18">
        <f t="shared" si="3"/>
        <v>2.3077705800000006</v>
      </c>
      <c r="M18">
        <f t="shared" si="1"/>
        <v>-0.63777058000000064</v>
      </c>
      <c r="N18" s="3">
        <f t="shared" si="2"/>
        <v>0.40675131271353721</v>
      </c>
    </row>
    <row r="19" spans="1:14" x14ac:dyDescent="0.35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 s="9">
        <v>1</v>
      </c>
      <c r="H19" s="9">
        <v>0</v>
      </c>
      <c r="I19" s="9">
        <v>1</v>
      </c>
      <c r="J19" s="3">
        <f t="shared" si="0"/>
        <v>1</v>
      </c>
      <c r="K19">
        <v>3.71</v>
      </c>
      <c r="L19">
        <f t="shared" si="3"/>
        <v>2.8088495399999998</v>
      </c>
      <c r="M19">
        <f t="shared" si="1"/>
        <v>0.90115046000000021</v>
      </c>
      <c r="N19" s="3">
        <f t="shared" si="2"/>
        <v>0.812072151558212</v>
      </c>
    </row>
    <row r="20" spans="1:14" x14ac:dyDescent="0.35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 s="7">
        <v>0</v>
      </c>
      <c r="H20" s="7">
        <v>0</v>
      </c>
      <c r="I20" s="7">
        <v>1</v>
      </c>
      <c r="J20" s="3">
        <f t="shared" si="0"/>
        <v>1</v>
      </c>
      <c r="K20">
        <v>3.5</v>
      </c>
      <c r="L20">
        <f t="shared" si="3"/>
        <v>2.8770538800000001</v>
      </c>
      <c r="M20">
        <f t="shared" si="1"/>
        <v>0.62294611999999994</v>
      </c>
      <c r="N20" s="3">
        <f t="shared" si="2"/>
        <v>0.38806186842305435</v>
      </c>
    </row>
    <row r="21" spans="1:14" x14ac:dyDescent="0.35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 s="9">
        <v>1</v>
      </c>
      <c r="H21" s="9">
        <v>0</v>
      </c>
      <c r="I21" s="9">
        <v>1</v>
      </c>
      <c r="J21" s="3">
        <f t="shared" si="0"/>
        <v>2</v>
      </c>
      <c r="K21">
        <v>3.35</v>
      </c>
      <c r="L21">
        <f t="shared" si="3"/>
        <v>3.2461188999999995</v>
      </c>
      <c r="M21">
        <f t="shared" si="1"/>
        <v>0.10388110000000061</v>
      </c>
      <c r="N21" s="3">
        <f t="shared" si="2"/>
        <v>1.0791282937210128E-2</v>
      </c>
    </row>
    <row r="22" spans="1:14" x14ac:dyDescent="0.35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 s="7">
        <v>1</v>
      </c>
      <c r="H22" s="7">
        <v>0</v>
      </c>
      <c r="I22" s="7">
        <v>1</v>
      </c>
      <c r="J22" s="3">
        <f t="shared" si="0"/>
        <v>2</v>
      </c>
      <c r="K22">
        <v>4.08</v>
      </c>
      <c r="L22">
        <f t="shared" si="3"/>
        <v>2.7859399200000001</v>
      </c>
      <c r="M22">
        <f t="shared" si="1"/>
        <v>1.2940600799999999</v>
      </c>
      <c r="N22" s="3">
        <f t="shared" si="2"/>
        <v>1.6745914906496062</v>
      </c>
    </row>
    <row r="23" spans="1:14" x14ac:dyDescent="0.35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 s="9">
        <v>0</v>
      </c>
      <c r="H23" s="9">
        <v>0</v>
      </c>
      <c r="I23" s="9">
        <v>1</v>
      </c>
      <c r="J23" s="4">
        <f t="shared" si="0"/>
        <v>2</v>
      </c>
      <c r="K23">
        <v>2.75</v>
      </c>
      <c r="L23">
        <f t="shared" si="3"/>
        <v>3.0385576599999999</v>
      </c>
      <c r="M23">
        <f t="shared" si="1"/>
        <v>-0.28855765999999994</v>
      </c>
      <c r="N23" s="3">
        <f t="shared" si="2"/>
        <v>8.3265523144675571E-2</v>
      </c>
    </row>
    <row r="24" spans="1:14" x14ac:dyDescent="0.35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 s="7">
        <v>0</v>
      </c>
      <c r="H24" s="7">
        <v>0</v>
      </c>
      <c r="I24" s="7">
        <v>1</v>
      </c>
      <c r="J24" s="3">
        <f t="shared" si="0"/>
        <v>2</v>
      </c>
      <c r="K24">
        <v>2.23</v>
      </c>
      <c r="L24">
        <f t="shared" si="3"/>
        <v>2.63294702</v>
      </c>
      <c r="M24">
        <f t="shared" si="1"/>
        <v>-0.40294702000000004</v>
      </c>
      <c r="N24" s="3">
        <f t="shared" si="2"/>
        <v>0.16236630092688042</v>
      </c>
    </row>
    <row r="25" spans="1:14" x14ac:dyDescent="0.35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 s="9">
        <v>1</v>
      </c>
      <c r="H25" s="9">
        <v>0</v>
      </c>
      <c r="I25" s="9">
        <v>1</v>
      </c>
      <c r="J25" s="3">
        <f t="shared" si="0"/>
        <v>2</v>
      </c>
      <c r="K25">
        <v>7.58</v>
      </c>
      <c r="L25">
        <f t="shared" si="3"/>
        <v>5.0680529200000004</v>
      </c>
      <c r="M25">
        <f t="shared" si="1"/>
        <v>2.5119470799999997</v>
      </c>
      <c r="N25" s="3">
        <f t="shared" si="2"/>
        <v>6.3098781327205247</v>
      </c>
    </row>
    <row r="26" spans="1:14" x14ac:dyDescent="0.35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 s="7">
        <v>1</v>
      </c>
      <c r="H26" s="7">
        <v>0</v>
      </c>
      <c r="I26" s="7">
        <v>1</v>
      </c>
      <c r="J26" s="3">
        <f t="shared" si="0"/>
        <v>2</v>
      </c>
      <c r="K26">
        <v>3.18</v>
      </c>
      <c r="L26">
        <f t="shared" si="3"/>
        <v>2.9843173199999997</v>
      </c>
      <c r="M26">
        <f t="shared" si="1"/>
        <v>0.19568268000000044</v>
      </c>
      <c r="N26" s="3">
        <f t="shared" si="2"/>
        <v>3.8291711251982573E-2</v>
      </c>
    </row>
    <row r="27" spans="1:14" x14ac:dyDescent="0.35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 s="9">
        <v>1</v>
      </c>
      <c r="H27" s="9">
        <v>0</v>
      </c>
      <c r="I27" s="9">
        <v>1</v>
      </c>
      <c r="J27" s="3">
        <f t="shared" si="0"/>
        <v>2</v>
      </c>
      <c r="K27">
        <v>2.34</v>
      </c>
      <c r="L27">
        <f t="shared" si="3"/>
        <v>3.1974717600000004</v>
      </c>
      <c r="M27">
        <f t="shared" si="1"/>
        <v>-0.85747176000000058</v>
      </c>
      <c r="N27" s="3">
        <f t="shared" si="2"/>
        <v>0.73525781919749855</v>
      </c>
    </row>
    <row r="28" spans="1:14" x14ac:dyDescent="0.3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 s="7">
        <v>1</v>
      </c>
      <c r="H28" s="7">
        <v>0</v>
      </c>
      <c r="I28" s="7">
        <v>1</v>
      </c>
      <c r="J28" s="3">
        <f t="shared" si="0"/>
        <v>2</v>
      </c>
      <c r="K28">
        <v>2</v>
      </c>
      <c r="L28">
        <f t="shared" si="3"/>
        <v>2.4164294799999997</v>
      </c>
      <c r="M28">
        <f t="shared" si="1"/>
        <v>-0.41642947999999969</v>
      </c>
      <c r="N28" s="3">
        <f t="shared" si="2"/>
        <v>0.17341351181307013</v>
      </c>
    </row>
    <row r="29" spans="1:14" x14ac:dyDescent="0.3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 s="9">
        <v>1</v>
      </c>
      <c r="H29" s="9">
        <v>0</v>
      </c>
      <c r="I29" s="9">
        <v>1</v>
      </c>
      <c r="J29" s="3">
        <f t="shared" si="0"/>
        <v>2</v>
      </c>
      <c r="K29">
        <v>2</v>
      </c>
      <c r="L29">
        <f t="shared" si="3"/>
        <v>2.3534587599999996</v>
      </c>
      <c r="M29">
        <f t="shared" si="1"/>
        <v>-0.35345875999999965</v>
      </c>
      <c r="N29" s="3">
        <f t="shared" si="2"/>
        <v>0.12493309502073735</v>
      </c>
    </row>
    <row r="30" spans="1:14" x14ac:dyDescent="0.35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 s="7">
        <v>1</v>
      </c>
      <c r="H30" s="7">
        <v>0</v>
      </c>
      <c r="I30" s="7">
        <v>1</v>
      </c>
      <c r="J30" s="3">
        <f t="shared" si="0"/>
        <v>2</v>
      </c>
      <c r="K30">
        <v>4.3</v>
      </c>
      <c r="L30">
        <f t="shared" si="3"/>
        <v>3.1305001999999997</v>
      </c>
      <c r="M30">
        <f t="shared" si="1"/>
        <v>1.1694998000000001</v>
      </c>
      <c r="N30" s="3">
        <f t="shared" si="2"/>
        <v>1.3677297822000403</v>
      </c>
    </row>
    <row r="31" spans="1:14" x14ac:dyDescent="0.35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 s="9">
        <v>0</v>
      </c>
      <c r="H31" s="9">
        <v>0</v>
      </c>
      <c r="I31" s="9">
        <v>1</v>
      </c>
      <c r="J31" s="3">
        <f t="shared" si="0"/>
        <v>2</v>
      </c>
      <c r="K31">
        <v>3</v>
      </c>
      <c r="L31">
        <f t="shared" si="3"/>
        <v>2.9730606000000002</v>
      </c>
      <c r="M31">
        <f t="shared" si="1"/>
        <v>2.6939399999999836E-2</v>
      </c>
      <c r="N31" s="3">
        <f t="shared" si="2"/>
        <v>7.2573127235999119E-4</v>
      </c>
    </row>
    <row r="32" spans="1:14" x14ac:dyDescent="0.35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 s="7">
        <v>1</v>
      </c>
      <c r="H32" s="7">
        <v>0</v>
      </c>
      <c r="I32" s="7">
        <v>1</v>
      </c>
      <c r="J32" s="3">
        <f t="shared" si="0"/>
        <v>2</v>
      </c>
      <c r="K32">
        <v>1.45</v>
      </c>
      <c r="L32">
        <f t="shared" si="3"/>
        <v>2.0763893000000002</v>
      </c>
      <c r="M32">
        <f t="shared" si="1"/>
        <v>-0.62638930000000026</v>
      </c>
      <c r="N32" s="3">
        <f t="shared" si="2"/>
        <v>0.39236355515449034</v>
      </c>
    </row>
    <row r="33" spans="1:14" x14ac:dyDescent="0.35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 s="9">
        <v>1</v>
      </c>
      <c r="H33" s="9">
        <v>0</v>
      </c>
      <c r="I33" s="9">
        <v>1</v>
      </c>
      <c r="J33" s="3">
        <f t="shared" si="0"/>
        <v>2</v>
      </c>
      <c r="K33">
        <v>2.5</v>
      </c>
      <c r="L33">
        <f t="shared" si="3"/>
        <v>3.2434904000000007</v>
      </c>
      <c r="M33">
        <f t="shared" si="1"/>
        <v>-0.74349040000000066</v>
      </c>
      <c r="N33" s="3">
        <f t="shared" si="2"/>
        <v>0.55277797489216096</v>
      </c>
    </row>
    <row r="34" spans="1:14" x14ac:dyDescent="0.35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 s="7">
        <v>0</v>
      </c>
      <c r="H34" s="7">
        <v>0</v>
      </c>
      <c r="I34" s="7">
        <v>1</v>
      </c>
      <c r="J34" s="3">
        <f t="shared" si="0"/>
        <v>2</v>
      </c>
      <c r="K34">
        <v>3</v>
      </c>
      <c r="L34">
        <f t="shared" si="3"/>
        <v>2.5480082400000001</v>
      </c>
      <c r="M34">
        <f t="shared" si="1"/>
        <v>0.45199175999999985</v>
      </c>
      <c r="N34" s="3">
        <f t="shared" si="2"/>
        <v>0.20429655110789746</v>
      </c>
    </row>
    <row r="35" spans="1:14" x14ac:dyDescent="0.35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 s="9">
        <v>0</v>
      </c>
      <c r="H35" s="9">
        <v>0</v>
      </c>
      <c r="I35" s="9">
        <v>1</v>
      </c>
      <c r="J35" s="3">
        <f t="shared" si="0"/>
        <v>2</v>
      </c>
      <c r="K35">
        <v>2.4500000000000002</v>
      </c>
      <c r="L35">
        <f t="shared" si="3"/>
        <v>3.4614298600000004</v>
      </c>
      <c r="M35">
        <f t="shared" si="1"/>
        <v>-1.0114298600000002</v>
      </c>
      <c r="N35" s="3">
        <f t="shared" si="2"/>
        <v>1.0229903616996201</v>
      </c>
    </row>
    <row r="36" spans="1:14" x14ac:dyDescent="0.35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 s="7">
        <v>1</v>
      </c>
      <c r="H36" s="7">
        <v>0</v>
      </c>
      <c r="I36" s="7">
        <v>1</v>
      </c>
      <c r="J36" s="3">
        <f t="shared" si="0"/>
        <v>2</v>
      </c>
      <c r="K36">
        <v>3.27</v>
      </c>
      <c r="L36">
        <f t="shared" si="3"/>
        <v>2.7931621800000004</v>
      </c>
      <c r="M36">
        <f t="shared" si="1"/>
        <v>0.47683781999999963</v>
      </c>
      <c r="N36" s="3">
        <f t="shared" si="2"/>
        <v>0.22737430658235205</v>
      </c>
    </row>
    <row r="37" spans="1:14" x14ac:dyDescent="0.35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 s="9">
        <v>1</v>
      </c>
      <c r="H37" s="9">
        <v>0</v>
      </c>
      <c r="I37" s="9">
        <v>1</v>
      </c>
      <c r="J37" s="3">
        <f t="shared" si="0"/>
        <v>2</v>
      </c>
      <c r="K37">
        <v>3.6</v>
      </c>
      <c r="L37">
        <f t="shared" si="3"/>
        <v>3.5556680400000005</v>
      </c>
      <c r="M37">
        <f t="shared" si="1"/>
        <v>4.4331959999999615E-2</v>
      </c>
      <c r="N37" s="3">
        <f t="shared" si="2"/>
        <v>1.9653226774415658E-3</v>
      </c>
    </row>
    <row r="38" spans="1:14" x14ac:dyDescent="0.35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 s="7">
        <v>1</v>
      </c>
      <c r="H38" s="7">
        <v>0</v>
      </c>
      <c r="I38" s="7">
        <v>1</v>
      </c>
      <c r="J38" s="3">
        <f t="shared" si="0"/>
        <v>2</v>
      </c>
      <c r="K38">
        <v>2</v>
      </c>
      <c r="L38">
        <f t="shared" si="3"/>
        <v>2.8778622399999998</v>
      </c>
      <c r="M38">
        <f t="shared" si="1"/>
        <v>-0.87786223999999979</v>
      </c>
      <c r="N38" s="3">
        <f t="shared" si="2"/>
        <v>0.77064211241781722</v>
      </c>
    </row>
    <row r="39" spans="1:14" x14ac:dyDescent="0.35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 s="9">
        <v>0</v>
      </c>
      <c r="H39" s="9">
        <v>0</v>
      </c>
      <c r="I39" s="9">
        <v>1</v>
      </c>
      <c r="J39" s="3">
        <f t="shared" si="0"/>
        <v>2</v>
      </c>
      <c r="K39">
        <v>3.07</v>
      </c>
      <c r="L39">
        <f t="shared" si="3"/>
        <v>2.9086101799999997</v>
      </c>
      <c r="M39">
        <f t="shared" si="1"/>
        <v>0.16138982000000013</v>
      </c>
      <c r="N39" s="3">
        <f t="shared" si="2"/>
        <v>2.6046673999632442E-2</v>
      </c>
    </row>
    <row r="40" spans="1:14" x14ac:dyDescent="0.35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 s="7">
        <v>1</v>
      </c>
      <c r="H40" s="7">
        <v>0</v>
      </c>
      <c r="I40" s="7">
        <v>1</v>
      </c>
      <c r="J40" s="3">
        <f t="shared" si="0"/>
        <v>2</v>
      </c>
      <c r="K40">
        <v>2.31</v>
      </c>
      <c r="L40">
        <f t="shared" si="3"/>
        <v>3.0905339400000003</v>
      </c>
      <c r="M40">
        <f t="shared" si="1"/>
        <v>-0.7805339400000002</v>
      </c>
      <c r="N40" s="3">
        <f t="shared" si="2"/>
        <v>0.60923323149192388</v>
      </c>
    </row>
    <row r="41" spans="1:14" x14ac:dyDescent="0.35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 s="9">
        <v>1</v>
      </c>
      <c r="H41" s="9">
        <v>0</v>
      </c>
      <c r="I41" s="9">
        <v>1</v>
      </c>
      <c r="J41" s="3">
        <f t="shared" si="0"/>
        <v>2</v>
      </c>
      <c r="K41">
        <v>5</v>
      </c>
      <c r="L41">
        <f t="shared" si="3"/>
        <v>4.1884520800000011</v>
      </c>
      <c r="M41">
        <f t="shared" si="1"/>
        <v>0.81154791999999887</v>
      </c>
      <c r="N41" s="3">
        <f t="shared" si="2"/>
        <v>0.6586100264563246</v>
      </c>
    </row>
    <row r="42" spans="1:14" x14ac:dyDescent="0.35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 s="7">
        <v>1</v>
      </c>
      <c r="H42" s="7">
        <v>0</v>
      </c>
      <c r="I42" s="7">
        <v>1</v>
      </c>
      <c r="J42" s="3">
        <f t="shared" si="0"/>
        <v>2</v>
      </c>
      <c r="K42">
        <v>2.2400000000000002</v>
      </c>
      <c r="L42">
        <f t="shared" si="3"/>
        <v>2.8468778800000001</v>
      </c>
      <c r="M42">
        <f t="shared" si="1"/>
        <v>-0.60687787999999987</v>
      </c>
      <c r="N42" s="3">
        <f t="shared" si="2"/>
        <v>0.36830076123329425</v>
      </c>
    </row>
    <row r="43" spans="1:14" x14ac:dyDescent="0.35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 s="9">
        <v>1</v>
      </c>
      <c r="H43" s="9">
        <v>0</v>
      </c>
      <c r="I43" s="9">
        <v>1</v>
      </c>
      <c r="J43" s="3">
        <f t="shared" si="0"/>
        <v>1</v>
      </c>
      <c r="K43">
        <v>2.54</v>
      </c>
      <c r="L43">
        <f t="shared" si="3"/>
        <v>2.7571779600000004</v>
      </c>
      <c r="M43">
        <f t="shared" si="1"/>
        <v>-0.21717796000000034</v>
      </c>
      <c r="N43" s="3">
        <f t="shared" si="2"/>
        <v>4.7166266309761749E-2</v>
      </c>
    </row>
    <row r="44" spans="1:14" x14ac:dyDescent="0.35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 s="7">
        <v>1</v>
      </c>
      <c r="H44" s="7">
        <v>0</v>
      </c>
      <c r="I44" s="7">
        <v>1</v>
      </c>
      <c r="J44" s="3">
        <f t="shared" si="0"/>
        <v>1</v>
      </c>
      <c r="K44">
        <v>3.06</v>
      </c>
      <c r="L44">
        <f t="shared" si="3"/>
        <v>2.4182524400000003</v>
      </c>
      <c r="M44">
        <f t="shared" si="1"/>
        <v>0.64174755999999977</v>
      </c>
      <c r="N44" s="3">
        <f t="shared" si="2"/>
        <v>0.41183993076595332</v>
      </c>
    </row>
    <row r="45" spans="1:14" x14ac:dyDescent="0.35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 s="9">
        <v>1</v>
      </c>
      <c r="H45" s="9">
        <v>0</v>
      </c>
      <c r="I45" s="9">
        <v>1</v>
      </c>
      <c r="J45" s="3">
        <f t="shared" si="0"/>
        <v>1</v>
      </c>
      <c r="K45">
        <v>1.32</v>
      </c>
      <c r="L45">
        <f t="shared" si="3"/>
        <v>2.0671236800000004</v>
      </c>
      <c r="M45">
        <f t="shared" si="1"/>
        <v>-0.74712368000000029</v>
      </c>
      <c r="N45" s="3">
        <f t="shared" si="2"/>
        <v>0.55819379321674278</v>
      </c>
    </row>
    <row r="46" spans="1:14" x14ac:dyDescent="0.35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 s="7">
        <v>1</v>
      </c>
      <c r="H46" s="7">
        <v>0</v>
      </c>
      <c r="I46" s="7">
        <v>1</v>
      </c>
      <c r="J46" s="3">
        <f t="shared" si="0"/>
        <v>1</v>
      </c>
      <c r="K46">
        <v>5.6</v>
      </c>
      <c r="L46">
        <f t="shared" si="3"/>
        <v>4.2575664</v>
      </c>
      <c r="M46">
        <f t="shared" si="1"/>
        <v>1.3424335999999997</v>
      </c>
      <c r="N46" s="3">
        <f t="shared" si="2"/>
        <v>1.8021279704089592</v>
      </c>
    </row>
    <row r="47" spans="1:14" x14ac:dyDescent="0.35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 s="9">
        <v>1</v>
      </c>
      <c r="H47" s="9">
        <v>0</v>
      </c>
      <c r="I47" s="9">
        <v>1</v>
      </c>
      <c r="J47" s="3">
        <f t="shared" si="0"/>
        <v>1</v>
      </c>
      <c r="K47">
        <v>3</v>
      </c>
      <c r="L47">
        <f t="shared" si="3"/>
        <v>2.8225751600000004</v>
      </c>
      <c r="M47">
        <f t="shared" si="1"/>
        <v>0.17742483999999958</v>
      </c>
      <c r="N47" s="3">
        <f t="shared" si="2"/>
        <v>3.1479573849025451E-2</v>
      </c>
    </row>
    <row r="48" spans="1:14" x14ac:dyDescent="0.35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 s="7">
        <v>1</v>
      </c>
      <c r="H48" s="7">
        <v>0</v>
      </c>
      <c r="I48" s="7">
        <v>1</v>
      </c>
      <c r="J48" s="3">
        <f t="shared" si="0"/>
        <v>1</v>
      </c>
      <c r="K48">
        <v>5</v>
      </c>
      <c r="L48">
        <f t="shared" si="3"/>
        <v>3.1375909200000001</v>
      </c>
      <c r="M48">
        <f t="shared" si="1"/>
        <v>1.8624090799999999</v>
      </c>
      <c r="N48" s="3">
        <f t="shared" si="2"/>
        <v>3.4685675812664463</v>
      </c>
    </row>
    <row r="49" spans="1:14" x14ac:dyDescent="0.35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 s="9">
        <v>1</v>
      </c>
      <c r="H49" s="9">
        <v>0</v>
      </c>
      <c r="I49" s="9">
        <v>1</v>
      </c>
      <c r="J49" s="3">
        <f t="shared" si="0"/>
        <v>1</v>
      </c>
      <c r="K49">
        <v>6</v>
      </c>
      <c r="L49">
        <f t="shared" si="3"/>
        <v>4.4328056</v>
      </c>
      <c r="M49">
        <f t="shared" si="1"/>
        <v>1.5671944</v>
      </c>
      <c r="N49" s="3">
        <f t="shared" si="2"/>
        <v>2.4560982873913599</v>
      </c>
    </row>
    <row r="50" spans="1:14" x14ac:dyDescent="0.35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 s="7">
        <v>1</v>
      </c>
      <c r="H50" s="7">
        <v>0</v>
      </c>
      <c r="I50" s="7">
        <v>1</v>
      </c>
      <c r="J50" s="3">
        <f t="shared" si="0"/>
        <v>1</v>
      </c>
      <c r="K50">
        <v>2.0499999999999998</v>
      </c>
      <c r="L50">
        <f t="shared" si="3"/>
        <v>3.9855451</v>
      </c>
      <c r="M50">
        <f t="shared" si="1"/>
        <v>-1.9355451000000001</v>
      </c>
      <c r="N50" s="3">
        <f t="shared" si="2"/>
        <v>3.7463348341340104</v>
      </c>
    </row>
    <row r="51" spans="1:14" x14ac:dyDescent="0.35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 s="9">
        <v>1</v>
      </c>
      <c r="H51" s="9">
        <v>0</v>
      </c>
      <c r="I51" s="9">
        <v>1</v>
      </c>
      <c r="J51" s="3">
        <f t="shared" si="0"/>
        <v>1</v>
      </c>
      <c r="K51">
        <v>3</v>
      </c>
      <c r="L51">
        <f t="shared" si="3"/>
        <v>2.7994241600000001</v>
      </c>
      <c r="M51">
        <f t="shared" si="1"/>
        <v>0.20057583999999995</v>
      </c>
      <c r="N51" s="3">
        <f t="shared" si="2"/>
        <v>4.0230667591705578E-2</v>
      </c>
    </row>
    <row r="52" spans="1:14" x14ac:dyDescent="0.35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 s="7">
        <v>1</v>
      </c>
      <c r="H52" s="7">
        <v>0</v>
      </c>
      <c r="I52" s="7">
        <v>1</v>
      </c>
      <c r="J52" s="3">
        <f t="shared" si="0"/>
        <v>1</v>
      </c>
      <c r="K52">
        <v>2.5</v>
      </c>
      <c r="L52">
        <f t="shared" si="3"/>
        <v>2.3025631600000005</v>
      </c>
      <c r="M52">
        <f t="shared" si="1"/>
        <v>0.1974368399999995</v>
      </c>
      <c r="N52" s="3">
        <f t="shared" si="2"/>
        <v>3.8981305789185405E-2</v>
      </c>
    </row>
    <row r="53" spans="1:14" x14ac:dyDescent="0.35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 s="9">
        <v>0</v>
      </c>
      <c r="H53" s="9">
        <v>0</v>
      </c>
      <c r="I53" s="9">
        <v>1</v>
      </c>
      <c r="J53" s="3">
        <f t="shared" si="0"/>
        <v>1</v>
      </c>
      <c r="K53">
        <v>2.6</v>
      </c>
      <c r="L53">
        <f t="shared" si="3"/>
        <v>2.09171196</v>
      </c>
      <c r="M53">
        <f t="shared" si="1"/>
        <v>0.50828804000000005</v>
      </c>
      <c r="N53" s="3">
        <f t="shared" si="2"/>
        <v>0.25835673160704165</v>
      </c>
    </row>
    <row r="54" spans="1:14" x14ac:dyDescent="0.35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 s="7">
        <v>0</v>
      </c>
      <c r="H54" s="7">
        <v>0</v>
      </c>
      <c r="I54" s="7">
        <v>1</v>
      </c>
      <c r="J54" s="3">
        <f t="shared" si="0"/>
        <v>1</v>
      </c>
      <c r="K54">
        <v>5.2</v>
      </c>
      <c r="L54">
        <f t="shared" si="3"/>
        <v>4.6759188399999996</v>
      </c>
      <c r="M54">
        <f t="shared" si="1"/>
        <v>0.5240811600000006</v>
      </c>
      <c r="N54" s="3">
        <f t="shared" si="2"/>
        <v>0.27466106226694625</v>
      </c>
    </row>
    <row r="55" spans="1:14" x14ac:dyDescent="0.35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 s="9">
        <v>1</v>
      </c>
      <c r="H55" s="9">
        <v>0</v>
      </c>
      <c r="I55" s="9">
        <v>1</v>
      </c>
      <c r="J55" s="3">
        <f t="shared" si="0"/>
        <v>1</v>
      </c>
      <c r="K55">
        <v>1.56</v>
      </c>
      <c r="L55">
        <f t="shared" si="3"/>
        <v>2.0852194400000004</v>
      </c>
      <c r="M55">
        <f t="shared" si="1"/>
        <v>-0.52521944000000031</v>
      </c>
      <c r="N55" s="3">
        <f t="shared" si="2"/>
        <v>0.27585546015391393</v>
      </c>
    </row>
    <row r="56" spans="1:14" x14ac:dyDescent="0.35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 s="7">
        <v>1</v>
      </c>
      <c r="H56" s="7">
        <v>0</v>
      </c>
      <c r="I56" s="7">
        <v>1</v>
      </c>
      <c r="J56" s="3">
        <f t="shared" si="0"/>
        <v>1</v>
      </c>
      <c r="K56">
        <v>4.34</v>
      </c>
      <c r="L56">
        <f t="shared" si="3"/>
        <v>3.8407647600000003</v>
      </c>
      <c r="M56">
        <f t="shared" si="1"/>
        <v>0.49923523999999952</v>
      </c>
      <c r="N56" s="3">
        <f t="shared" si="2"/>
        <v>0.24923582485785711</v>
      </c>
    </row>
    <row r="57" spans="1:14" x14ac:dyDescent="0.35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 s="9">
        <v>1</v>
      </c>
      <c r="H57" s="9">
        <v>0</v>
      </c>
      <c r="I57" s="9">
        <v>1</v>
      </c>
      <c r="J57" s="3">
        <f t="shared" si="0"/>
        <v>1</v>
      </c>
      <c r="K57">
        <v>3.51</v>
      </c>
      <c r="L57">
        <f t="shared" si="3"/>
        <v>2.92098974</v>
      </c>
      <c r="M57">
        <f t="shared" si="1"/>
        <v>0.58901025999999979</v>
      </c>
      <c r="N57" s="3">
        <f t="shared" si="2"/>
        <v>0.34693308638526738</v>
      </c>
    </row>
    <row r="58" spans="1:14" x14ac:dyDescent="0.35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 s="7">
        <v>1</v>
      </c>
      <c r="H58" s="7">
        <v>1</v>
      </c>
      <c r="I58" s="7">
        <v>1</v>
      </c>
      <c r="J58" s="3">
        <f t="shared" si="0"/>
        <v>2</v>
      </c>
      <c r="K58">
        <v>3</v>
      </c>
      <c r="L58">
        <f t="shared" si="3"/>
        <v>4.95144304</v>
      </c>
      <c r="M58">
        <f t="shared" si="1"/>
        <v>-1.95144304</v>
      </c>
      <c r="N58" s="3">
        <f t="shared" si="2"/>
        <v>3.8081299383644418</v>
      </c>
    </row>
    <row r="59" spans="1:14" x14ac:dyDescent="0.35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 s="9">
        <v>0</v>
      </c>
      <c r="H59" s="9">
        <v>0</v>
      </c>
      <c r="I59" s="9">
        <v>1</v>
      </c>
      <c r="J59" s="3">
        <f t="shared" si="0"/>
        <v>2</v>
      </c>
      <c r="K59">
        <v>1.5</v>
      </c>
      <c r="L59">
        <f t="shared" si="3"/>
        <v>3.6364466399999995</v>
      </c>
      <c r="M59">
        <f t="shared" si="1"/>
        <v>-2.1364466399999995</v>
      </c>
      <c r="N59" s="3">
        <f t="shared" si="2"/>
        <v>4.5644042455672871</v>
      </c>
    </row>
    <row r="60" spans="1:14" x14ac:dyDescent="0.35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 s="7">
        <v>1</v>
      </c>
      <c r="H60" s="7">
        <v>1</v>
      </c>
      <c r="I60" s="7">
        <v>1</v>
      </c>
      <c r="J60" s="3">
        <f t="shared" si="0"/>
        <v>2</v>
      </c>
      <c r="K60">
        <v>1.76</v>
      </c>
      <c r="L60">
        <f t="shared" si="3"/>
        <v>2.1249832400000002</v>
      </c>
      <c r="M60">
        <f t="shared" si="1"/>
        <v>-0.36498324000000015</v>
      </c>
      <c r="N60" s="3">
        <f t="shared" si="2"/>
        <v>0.13321276548089772</v>
      </c>
    </row>
    <row r="61" spans="1:14" x14ac:dyDescent="0.35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 s="9">
        <v>1</v>
      </c>
      <c r="H61" s="9">
        <v>0</v>
      </c>
      <c r="I61" s="9">
        <v>1</v>
      </c>
      <c r="J61" s="3">
        <f t="shared" si="0"/>
        <v>2</v>
      </c>
      <c r="K61">
        <v>6.73</v>
      </c>
      <c r="L61">
        <f t="shared" si="3"/>
        <v>5.9087820200000003</v>
      </c>
      <c r="M61">
        <f t="shared" si="1"/>
        <v>0.82121798000000013</v>
      </c>
      <c r="N61" s="3">
        <f t="shared" si="2"/>
        <v>0.67439897067528065</v>
      </c>
    </row>
    <row r="62" spans="1:14" x14ac:dyDescent="0.35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 s="7">
        <v>1</v>
      </c>
      <c r="H62" s="7">
        <v>1</v>
      </c>
      <c r="I62" s="7">
        <v>1</v>
      </c>
      <c r="J62" s="3">
        <f t="shared" si="0"/>
        <v>2</v>
      </c>
      <c r="K62">
        <v>3.21</v>
      </c>
      <c r="L62">
        <f t="shared" si="3"/>
        <v>2.9269125399999996</v>
      </c>
      <c r="M62">
        <f t="shared" si="1"/>
        <v>0.2830874600000004</v>
      </c>
      <c r="N62" s="3">
        <f t="shared" si="2"/>
        <v>8.0138510009251832E-2</v>
      </c>
    </row>
    <row r="63" spans="1:14" x14ac:dyDescent="0.35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 s="9">
        <v>1</v>
      </c>
      <c r="H63" s="9">
        <v>1</v>
      </c>
      <c r="I63" s="9">
        <v>1</v>
      </c>
      <c r="J63" s="3">
        <f t="shared" si="0"/>
        <v>2</v>
      </c>
      <c r="K63">
        <v>2</v>
      </c>
      <c r="L63">
        <f t="shared" si="3"/>
        <v>2.3569942399999997</v>
      </c>
      <c r="M63">
        <f t="shared" si="1"/>
        <v>-0.35699423999999969</v>
      </c>
      <c r="N63" s="3">
        <f t="shared" si="2"/>
        <v>0.12744488739317739</v>
      </c>
    </row>
    <row r="64" spans="1:14" x14ac:dyDescent="0.35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 s="7">
        <v>1</v>
      </c>
      <c r="H64" s="7">
        <v>1</v>
      </c>
      <c r="I64" s="7">
        <v>1</v>
      </c>
      <c r="J64" s="3">
        <f t="shared" si="0"/>
        <v>2</v>
      </c>
      <c r="K64">
        <v>1.98</v>
      </c>
      <c r="L64">
        <f t="shared" si="3"/>
        <v>2.0991275200000001</v>
      </c>
      <c r="M64">
        <f t="shared" si="1"/>
        <v>-0.11912752000000015</v>
      </c>
      <c r="N64" s="3">
        <f t="shared" si="2"/>
        <v>1.4191366021350436E-2</v>
      </c>
    </row>
    <row r="65" spans="1:14" x14ac:dyDescent="0.35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 s="9">
        <v>1</v>
      </c>
      <c r="H65" s="9">
        <v>1</v>
      </c>
      <c r="I65" s="9">
        <v>1</v>
      </c>
      <c r="J65" s="3">
        <f t="shared" si="0"/>
        <v>2</v>
      </c>
      <c r="K65">
        <v>3.76</v>
      </c>
      <c r="L65">
        <f t="shared" si="3"/>
        <v>3.1063514400000001</v>
      </c>
      <c r="M65">
        <f t="shared" si="1"/>
        <v>0.65364855999999971</v>
      </c>
      <c r="N65" s="3">
        <f t="shared" si="2"/>
        <v>0.42725643999007323</v>
      </c>
    </row>
    <row r="66" spans="1:14" x14ac:dyDescent="0.35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 s="7">
        <v>1</v>
      </c>
      <c r="H66" s="7">
        <v>0</v>
      </c>
      <c r="I66" s="7">
        <v>1</v>
      </c>
      <c r="J66" s="3">
        <f t="shared" ref="J66:J129" si="4">IF(C66="Sun",1,IF(C66="sat",2,IF(C66="thur",3,4)))</f>
        <v>2</v>
      </c>
      <c r="K66">
        <v>2.64</v>
      </c>
      <c r="L66">
        <f t="shared" ref="L66:L129" si="5">0.775857+0.092604*F66+0.189177*E66-0.100181*H66+0.024859*I66+0.024544*J66-0.024922*K66</f>
        <v>2.9804452800000001</v>
      </c>
      <c r="M66">
        <f t="shared" ref="M66:M129" si="6">K66-L66</f>
        <v>-0.34044527999999996</v>
      </c>
      <c r="N66" s="3">
        <f t="shared" ref="N66:N129" si="7">M66^2</f>
        <v>0.11590298867427837</v>
      </c>
    </row>
    <row r="67" spans="1:14" x14ac:dyDescent="0.35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 s="9">
        <v>1</v>
      </c>
      <c r="H67" s="9">
        <v>0</v>
      </c>
      <c r="I67" s="9">
        <v>1</v>
      </c>
      <c r="J67" s="3">
        <f t="shared" si="4"/>
        <v>2</v>
      </c>
      <c r="K67">
        <v>3.15</v>
      </c>
      <c r="L67">
        <f t="shared" si="5"/>
        <v>3.1983190199999996</v>
      </c>
      <c r="M67">
        <f t="shared" si="6"/>
        <v>-4.8319019999999657E-2</v>
      </c>
      <c r="N67" s="3">
        <f t="shared" si="7"/>
        <v>2.3347276937603668E-3</v>
      </c>
    </row>
    <row r="68" spans="1:14" x14ac:dyDescent="0.35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 s="7">
        <v>0</v>
      </c>
      <c r="H68" s="7">
        <v>0</v>
      </c>
      <c r="I68" s="7">
        <v>1</v>
      </c>
      <c r="J68" s="3">
        <f t="shared" si="4"/>
        <v>2</v>
      </c>
      <c r="K68">
        <v>2.4700000000000002</v>
      </c>
      <c r="L68">
        <f t="shared" si="5"/>
        <v>2.6899364600000002</v>
      </c>
      <c r="M68">
        <f t="shared" si="6"/>
        <v>-0.21993646</v>
      </c>
      <c r="N68" s="3">
        <f t="shared" si="7"/>
        <v>4.8372046437331603E-2</v>
      </c>
    </row>
    <row r="69" spans="1:14" x14ac:dyDescent="0.35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 s="9">
        <v>0</v>
      </c>
      <c r="H69" s="9">
        <v>1</v>
      </c>
      <c r="I69" s="9">
        <v>1</v>
      </c>
      <c r="J69" s="3">
        <f t="shared" si="4"/>
        <v>2</v>
      </c>
      <c r="K69">
        <v>1</v>
      </c>
      <c r="L69">
        <f t="shared" si="5"/>
        <v>1.1981722799999996</v>
      </c>
      <c r="M69">
        <f t="shared" si="6"/>
        <v>-0.19817227999999965</v>
      </c>
      <c r="N69" s="3">
        <f t="shared" si="7"/>
        <v>3.9272252560398256E-2</v>
      </c>
    </row>
    <row r="70" spans="1:14" x14ac:dyDescent="0.35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 s="7">
        <v>1</v>
      </c>
      <c r="H70" s="7">
        <v>0</v>
      </c>
      <c r="I70" s="7">
        <v>1</v>
      </c>
      <c r="J70" s="3">
        <f t="shared" si="4"/>
        <v>2</v>
      </c>
      <c r="K70">
        <v>2.0099999999999998</v>
      </c>
      <c r="L70">
        <f t="shared" si="5"/>
        <v>3.0514437000000001</v>
      </c>
      <c r="M70">
        <f t="shared" si="6"/>
        <v>-1.0414437000000003</v>
      </c>
      <c r="N70" s="3">
        <f t="shared" si="7"/>
        <v>1.0846049802696907</v>
      </c>
    </row>
    <row r="71" spans="1:14" x14ac:dyDescent="0.35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 s="9">
        <v>1</v>
      </c>
      <c r="H71" s="9">
        <v>1</v>
      </c>
      <c r="I71" s="9">
        <v>1</v>
      </c>
      <c r="J71" s="3">
        <f t="shared" si="4"/>
        <v>2</v>
      </c>
      <c r="K71">
        <v>2.09</v>
      </c>
      <c r="L71">
        <f t="shared" si="5"/>
        <v>2.4658760600000003</v>
      </c>
      <c r="M71">
        <f t="shared" si="6"/>
        <v>-0.3758760600000004</v>
      </c>
      <c r="N71" s="3">
        <f t="shared" si="7"/>
        <v>0.1412828124811239</v>
      </c>
    </row>
    <row r="72" spans="1:14" x14ac:dyDescent="0.35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 s="7">
        <v>1</v>
      </c>
      <c r="H72" s="7">
        <v>0</v>
      </c>
      <c r="I72" s="7">
        <v>1</v>
      </c>
      <c r="J72" s="3">
        <f t="shared" si="4"/>
        <v>2</v>
      </c>
      <c r="K72">
        <v>1.97</v>
      </c>
      <c r="L72">
        <f t="shared" si="5"/>
        <v>2.2921617399999996</v>
      </c>
      <c r="M72">
        <f t="shared" si="6"/>
        <v>-0.32216173999999964</v>
      </c>
      <c r="N72" s="3">
        <f t="shared" si="7"/>
        <v>0.10378818671982737</v>
      </c>
    </row>
    <row r="73" spans="1:14" x14ac:dyDescent="0.35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 s="9">
        <v>0</v>
      </c>
      <c r="H73" s="9">
        <v>0</v>
      </c>
      <c r="I73" s="9">
        <v>1</v>
      </c>
      <c r="J73" s="3">
        <f t="shared" si="4"/>
        <v>2</v>
      </c>
      <c r="K73">
        <v>3</v>
      </c>
      <c r="L73">
        <f t="shared" si="5"/>
        <v>2.9233192800000003</v>
      </c>
      <c r="M73">
        <f t="shared" si="6"/>
        <v>7.6680719999999702E-2</v>
      </c>
      <c r="N73" s="3">
        <f t="shared" si="7"/>
        <v>5.879932819718354E-3</v>
      </c>
    </row>
    <row r="74" spans="1:14" x14ac:dyDescent="0.35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 s="7">
        <v>0</v>
      </c>
      <c r="H74" s="7">
        <v>1</v>
      </c>
      <c r="I74" s="7">
        <v>1</v>
      </c>
      <c r="J74" s="3">
        <f t="shared" si="4"/>
        <v>2</v>
      </c>
      <c r="K74">
        <v>3.14</v>
      </c>
      <c r="L74">
        <f t="shared" si="5"/>
        <v>3.5370653600000002</v>
      </c>
      <c r="M74">
        <f t="shared" si="6"/>
        <v>-0.39706536000000003</v>
      </c>
      <c r="N74" s="3">
        <f t="shared" si="7"/>
        <v>0.15766090011192962</v>
      </c>
    </row>
    <row r="75" spans="1:14" x14ac:dyDescent="0.35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 s="9">
        <v>0</v>
      </c>
      <c r="H75" s="9">
        <v>1</v>
      </c>
      <c r="I75" s="9">
        <v>1</v>
      </c>
      <c r="J75" s="3">
        <f t="shared" si="4"/>
        <v>2</v>
      </c>
      <c r="K75">
        <v>5</v>
      </c>
      <c r="L75">
        <f t="shared" si="5"/>
        <v>3.3443961199999999</v>
      </c>
      <c r="M75">
        <f t="shared" si="6"/>
        <v>1.6556038800000001</v>
      </c>
      <c r="N75" s="3">
        <f t="shared" si="7"/>
        <v>2.7410242074710549</v>
      </c>
    </row>
    <row r="76" spans="1:14" x14ac:dyDescent="0.35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 s="7">
        <v>0</v>
      </c>
      <c r="H76" s="7">
        <v>0</v>
      </c>
      <c r="I76" s="7">
        <v>1</v>
      </c>
      <c r="J76" s="3">
        <f t="shared" si="4"/>
        <v>2</v>
      </c>
      <c r="K76">
        <v>2.2000000000000002</v>
      </c>
      <c r="L76">
        <f t="shared" si="5"/>
        <v>2.5373865200000001</v>
      </c>
      <c r="M76">
        <f t="shared" si="6"/>
        <v>-0.33738651999999991</v>
      </c>
      <c r="N76" s="3">
        <f t="shared" si="7"/>
        <v>0.11382966387771035</v>
      </c>
    </row>
    <row r="77" spans="1:14" x14ac:dyDescent="0.35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 s="9">
        <v>1</v>
      </c>
      <c r="H77" s="9">
        <v>0</v>
      </c>
      <c r="I77" s="9">
        <v>1</v>
      </c>
      <c r="J77" s="3">
        <f t="shared" si="4"/>
        <v>2</v>
      </c>
      <c r="K77">
        <v>1.25</v>
      </c>
      <c r="L77">
        <f t="shared" si="5"/>
        <v>2.1702735399999997</v>
      </c>
      <c r="M77">
        <f t="shared" si="6"/>
        <v>-0.92027353999999972</v>
      </c>
      <c r="N77" s="3">
        <f t="shared" si="7"/>
        <v>0.84690338842413104</v>
      </c>
    </row>
    <row r="78" spans="1:14" x14ac:dyDescent="0.35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 s="7">
        <v>1</v>
      </c>
      <c r="H78" s="7">
        <v>1</v>
      </c>
      <c r="I78" s="7">
        <v>1</v>
      </c>
      <c r="J78" s="3">
        <f t="shared" si="4"/>
        <v>2</v>
      </c>
      <c r="K78">
        <v>3.08</v>
      </c>
      <c r="L78">
        <f t="shared" si="5"/>
        <v>2.7106809200000002</v>
      </c>
      <c r="M78">
        <f t="shared" si="6"/>
        <v>0.36931907999999991</v>
      </c>
      <c r="N78" s="3">
        <f t="shared" si="7"/>
        <v>0.13639658285204634</v>
      </c>
    </row>
    <row r="79" spans="1:14" x14ac:dyDescent="0.35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 s="9">
        <v>1</v>
      </c>
      <c r="H79" s="9">
        <v>0</v>
      </c>
      <c r="I79" s="9">
        <v>0</v>
      </c>
      <c r="J79" s="3">
        <f t="shared" si="4"/>
        <v>3</v>
      </c>
      <c r="K79">
        <v>4</v>
      </c>
      <c r="L79">
        <f t="shared" si="5"/>
        <v>4.0253377999999991</v>
      </c>
      <c r="M79">
        <f t="shared" si="6"/>
        <v>-2.5337799999999078E-2</v>
      </c>
      <c r="N79" s="3">
        <f t="shared" si="7"/>
        <v>6.4200410883995327E-4</v>
      </c>
    </row>
    <row r="80" spans="1:14" x14ac:dyDescent="0.35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 s="7">
        <v>1</v>
      </c>
      <c r="H80" s="7">
        <v>0</v>
      </c>
      <c r="I80" s="7">
        <v>0</v>
      </c>
      <c r="J80" s="3">
        <f t="shared" si="4"/>
        <v>3</v>
      </c>
      <c r="K80">
        <v>3</v>
      </c>
      <c r="L80">
        <f t="shared" si="5"/>
        <v>3.2607440400000001</v>
      </c>
      <c r="M80">
        <f t="shared" si="6"/>
        <v>-0.26074404000000007</v>
      </c>
      <c r="N80" s="3">
        <f t="shared" si="7"/>
        <v>6.7987454395521632E-2</v>
      </c>
    </row>
    <row r="81" spans="1:14" x14ac:dyDescent="0.35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 s="9">
        <v>1</v>
      </c>
      <c r="H81" s="9">
        <v>0</v>
      </c>
      <c r="I81" s="9">
        <v>0</v>
      </c>
      <c r="J81" s="3">
        <f t="shared" si="4"/>
        <v>3</v>
      </c>
      <c r="K81">
        <v>2.71</v>
      </c>
      <c r="L81">
        <f t="shared" si="5"/>
        <v>2.7614275399999997</v>
      </c>
      <c r="M81">
        <f t="shared" si="6"/>
        <v>-5.1427539999999716E-2</v>
      </c>
      <c r="N81" s="3">
        <f t="shared" si="7"/>
        <v>2.6447918704515707E-3</v>
      </c>
    </row>
    <row r="82" spans="1:14" x14ac:dyDescent="0.35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 s="7">
        <v>1</v>
      </c>
      <c r="H82" s="7">
        <v>1</v>
      </c>
      <c r="I82" s="7">
        <v>0</v>
      </c>
      <c r="J82" s="3">
        <f t="shared" si="4"/>
        <v>3</v>
      </c>
      <c r="K82">
        <v>3</v>
      </c>
      <c r="L82">
        <f t="shared" si="5"/>
        <v>2.8531177600000004</v>
      </c>
      <c r="M82">
        <f t="shared" si="6"/>
        <v>0.14688223999999961</v>
      </c>
      <c r="N82" s="3">
        <f t="shared" si="7"/>
        <v>2.1574392427417485E-2</v>
      </c>
    </row>
    <row r="83" spans="1:14" x14ac:dyDescent="0.35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 s="9">
        <v>1</v>
      </c>
      <c r="H83" s="9">
        <v>0</v>
      </c>
      <c r="I83" s="9">
        <v>0</v>
      </c>
      <c r="J83" s="3">
        <f t="shared" si="4"/>
        <v>3</v>
      </c>
      <c r="K83">
        <v>3.4</v>
      </c>
      <c r="L83">
        <f t="shared" si="5"/>
        <v>2.6858908399999999</v>
      </c>
      <c r="M83">
        <f t="shared" si="6"/>
        <v>0.71410916000000002</v>
      </c>
      <c r="N83" s="3">
        <f t="shared" si="7"/>
        <v>0.50995189239590566</v>
      </c>
    </row>
    <row r="84" spans="1:14" x14ac:dyDescent="0.35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 s="7">
        <v>0</v>
      </c>
      <c r="H84" s="7">
        <v>0</v>
      </c>
      <c r="I84" s="7">
        <v>0</v>
      </c>
      <c r="J84" s="3">
        <f t="shared" si="4"/>
        <v>3</v>
      </c>
      <c r="K84">
        <v>1.83</v>
      </c>
      <c r="L84">
        <f t="shared" si="5"/>
        <v>1.9255810199999999</v>
      </c>
      <c r="M84">
        <f t="shared" si="6"/>
        <v>-9.5581019999999794E-2</v>
      </c>
      <c r="N84" s="3">
        <f t="shared" si="7"/>
        <v>9.1357313842403611E-3</v>
      </c>
    </row>
    <row r="85" spans="1:14" x14ac:dyDescent="0.35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 s="9">
        <v>1</v>
      </c>
      <c r="H85" s="9">
        <v>1</v>
      </c>
      <c r="I85" s="9">
        <v>0</v>
      </c>
      <c r="J85" s="3">
        <f t="shared" si="4"/>
        <v>3</v>
      </c>
      <c r="K85">
        <v>5</v>
      </c>
      <c r="L85">
        <f t="shared" si="5"/>
        <v>4.0293507200000001</v>
      </c>
      <c r="M85">
        <f t="shared" si="6"/>
        <v>0.97064927999999995</v>
      </c>
      <c r="N85" s="3">
        <f t="shared" si="7"/>
        <v>0.94216002476451832</v>
      </c>
    </row>
    <row r="86" spans="1:14" x14ac:dyDescent="0.35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 s="7">
        <v>1</v>
      </c>
      <c r="H86" s="7">
        <v>0</v>
      </c>
      <c r="I86" s="7">
        <v>0</v>
      </c>
      <c r="J86" s="3">
        <f t="shared" si="4"/>
        <v>3</v>
      </c>
      <c r="K86">
        <v>2.0299999999999998</v>
      </c>
      <c r="L86">
        <f t="shared" si="5"/>
        <v>2.6570632600000001</v>
      </c>
      <c r="M86">
        <f t="shared" si="6"/>
        <v>-0.62706326000000034</v>
      </c>
      <c r="N86" s="3">
        <f t="shared" si="7"/>
        <v>0.39320833204182803</v>
      </c>
    </row>
    <row r="87" spans="1:14" x14ac:dyDescent="0.35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 s="9">
        <v>0</v>
      </c>
      <c r="H87" s="9">
        <v>0</v>
      </c>
      <c r="I87" s="9">
        <v>0</v>
      </c>
      <c r="J87" s="3">
        <f t="shared" si="4"/>
        <v>3</v>
      </c>
      <c r="K87">
        <v>5.17</v>
      </c>
      <c r="L87">
        <f t="shared" si="5"/>
        <v>4.7027475799999996</v>
      </c>
      <c r="M87">
        <f t="shared" si="6"/>
        <v>0.46725242000000033</v>
      </c>
      <c r="N87" s="3">
        <f t="shared" si="7"/>
        <v>0.2183248239958567</v>
      </c>
    </row>
    <row r="88" spans="1:14" x14ac:dyDescent="0.35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 s="7">
        <v>1</v>
      </c>
      <c r="H88" s="7">
        <v>0</v>
      </c>
      <c r="I88" s="7">
        <v>0</v>
      </c>
      <c r="J88" s="3">
        <f t="shared" si="4"/>
        <v>3</v>
      </c>
      <c r="K88">
        <v>2</v>
      </c>
      <c r="L88">
        <f t="shared" si="5"/>
        <v>2.3846291199999996</v>
      </c>
      <c r="M88">
        <f t="shared" si="6"/>
        <v>-0.3846291199999996</v>
      </c>
      <c r="N88" s="3">
        <f t="shared" si="7"/>
        <v>0.14793955995197408</v>
      </c>
    </row>
    <row r="89" spans="1:14" x14ac:dyDescent="0.35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 s="9">
        <v>1</v>
      </c>
      <c r="H89" s="9">
        <v>0</v>
      </c>
      <c r="I89" s="9">
        <v>0</v>
      </c>
      <c r="J89" s="3">
        <f t="shared" si="4"/>
        <v>3</v>
      </c>
      <c r="K89">
        <v>4</v>
      </c>
      <c r="L89">
        <f t="shared" si="5"/>
        <v>2.82095612</v>
      </c>
      <c r="M89">
        <f t="shared" si="6"/>
        <v>1.17904388</v>
      </c>
      <c r="N89" s="3">
        <f t="shared" si="7"/>
        <v>1.3901444709654545</v>
      </c>
    </row>
    <row r="90" spans="1:14" x14ac:dyDescent="0.35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 s="7">
        <v>1</v>
      </c>
      <c r="H90" s="7">
        <v>0</v>
      </c>
      <c r="I90" s="7">
        <v>0</v>
      </c>
      <c r="J90" s="3">
        <f t="shared" si="4"/>
        <v>3</v>
      </c>
      <c r="K90">
        <v>5.85</v>
      </c>
      <c r="L90">
        <f t="shared" si="5"/>
        <v>3.3702941399999999</v>
      </c>
      <c r="M90">
        <f t="shared" si="6"/>
        <v>2.4797058599999997</v>
      </c>
      <c r="N90" s="3">
        <f t="shared" si="7"/>
        <v>6.1489411521183381</v>
      </c>
    </row>
    <row r="91" spans="1:14" x14ac:dyDescent="0.35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 s="9">
        <v>1</v>
      </c>
      <c r="H91" s="9">
        <v>0</v>
      </c>
      <c r="I91" s="9">
        <v>0</v>
      </c>
      <c r="J91" s="3">
        <f t="shared" si="4"/>
        <v>3</v>
      </c>
      <c r="K91">
        <v>3</v>
      </c>
      <c r="L91">
        <f t="shared" si="5"/>
        <v>3.11257764</v>
      </c>
      <c r="M91">
        <f t="shared" si="6"/>
        <v>-0.11257764000000003</v>
      </c>
      <c r="N91" s="3">
        <f t="shared" si="7"/>
        <v>1.2673725027969608E-2</v>
      </c>
    </row>
    <row r="92" spans="1:14" x14ac:dyDescent="0.35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 s="7">
        <v>1</v>
      </c>
      <c r="H92" s="7">
        <v>1</v>
      </c>
      <c r="I92" s="7">
        <v>1</v>
      </c>
      <c r="J92" s="3">
        <f t="shared" si="4"/>
        <v>4</v>
      </c>
      <c r="K92">
        <v>3</v>
      </c>
      <c r="L92">
        <f t="shared" si="5"/>
        <v>3.7850368799999998</v>
      </c>
      <c r="M92">
        <f t="shared" si="6"/>
        <v>-0.78503687999999983</v>
      </c>
      <c r="N92" s="3">
        <f t="shared" si="7"/>
        <v>0.6162829029601341</v>
      </c>
    </row>
    <row r="93" spans="1:14" x14ac:dyDescent="0.35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 s="9">
        <v>1</v>
      </c>
      <c r="H93" s="9">
        <v>0</v>
      </c>
      <c r="I93" s="9">
        <v>1</v>
      </c>
      <c r="J93" s="3">
        <f t="shared" si="4"/>
        <v>4</v>
      </c>
      <c r="K93">
        <v>3.5</v>
      </c>
      <c r="L93">
        <f t="shared" si="5"/>
        <v>3.27268296</v>
      </c>
      <c r="M93">
        <f t="shared" si="6"/>
        <v>0.22731703999999997</v>
      </c>
      <c r="N93" s="3">
        <f t="shared" si="7"/>
        <v>5.1673036674361586E-2</v>
      </c>
    </row>
    <row r="94" spans="1:14" x14ac:dyDescent="0.35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 s="7">
        <v>0</v>
      </c>
      <c r="H94" s="7">
        <v>1</v>
      </c>
      <c r="I94" s="7">
        <v>1</v>
      </c>
      <c r="J94" s="3">
        <f t="shared" si="4"/>
        <v>4</v>
      </c>
      <c r="K94">
        <v>1</v>
      </c>
      <c r="L94">
        <f t="shared" si="5"/>
        <v>1.6846160000000001</v>
      </c>
      <c r="M94">
        <f t="shared" si="6"/>
        <v>-0.68461600000000011</v>
      </c>
      <c r="N94" s="3">
        <f t="shared" si="7"/>
        <v>0.46869906745600015</v>
      </c>
    </row>
    <row r="95" spans="1:14" x14ac:dyDescent="0.35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 s="9">
        <v>0</v>
      </c>
      <c r="H95" s="9">
        <v>1</v>
      </c>
      <c r="I95" s="9">
        <v>1</v>
      </c>
      <c r="J95" s="3">
        <f t="shared" si="4"/>
        <v>4</v>
      </c>
      <c r="K95">
        <v>4.3</v>
      </c>
      <c r="L95">
        <f t="shared" si="5"/>
        <v>2.5811976800000003</v>
      </c>
      <c r="M95">
        <f t="shared" si="6"/>
        <v>1.7188023199999996</v>
      </c>
      <c r="N95" s="3">
        <f t="shared" si="7"/>
        <v>2.9542814152373809</v>
      </c>
    </row>
    <row r="96" spans="1:14" x14ac:dyDescent="0.35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 s="7">
        <v>0</v>
      </c>
      <c r="H96" s="7">
        <v>0</v>
      </c>
      <c r="I96" s="7">
        <v>1</v>
      </c>
      <c r="J96" s="3">
        <f t="shared" si="4"/>
        <v>4</v>
      </c>
      <c r="K96">
        <v>3.25</v>
      </c>
      <c r="L96">
        <f t="shared" si="5"/>
        <v>3.3029904999999999</v>
      </c>
      <c r="M96">
        <f t="shared" si="6"/>
        <v>-5.299049999999994E-2</v>
      </c>
      <c r="N96" s="3">
        <f t="shared" si="7"/>
        <v>2.8079930902499936E-3</v>
      </c>
    </row>
    <row r="97" spans="1:14" x14ac:dyDescent="0.35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 s="9">
        <v>1</v>
      </c>
      <c r="H97" s="9">
        <v>1</v>
      </c>
      <c r="I97" s="9">
        <v>1</v>
      </c>
      <c r="J97" s="3">
        <f t="shared" si="4"/>
        <v>4</v>
      </c>
      <c r="K97">
        <v>4.7300000000000004</v>
      </c>
      <c r="L97">
        <f t="shared" si="5"/>
        <v>5.15744062</v>
      </c>
      <c r="M97">
        <f t="shared" si="6"/>
        <v>-0.4274406199999996</v>
      </c>
      <c r="N97" s="3">
        <f t="shared" si="7"/>
        <v>0.18270548362598407</v>
      </c>
    </row>
    <row r="98" spans="1:14" x14ac:dyDescent="0.35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 s="7">
        <v>1</v>
      </c>
      <c r="H98" s="7">
        <v>1</v>
      </c>
      <c r="I98" s="7">
        <v>1</v>
      </c>
      <c r="J98" s="3">
        <f t="shared" si="4"/>
        <v>4</v>
      </c>
      <c r="K98">
        <v>4</v>
      </c>
      <c r="L98">
        <f t="shared" si="5"/>
        <v>3.6036141200000005</v>
      </c>
      <c r="M98">
        <f t="shared" si="6"/>
        <v>0.39638587999999952</v>
      </c>
      <c r="N98" s="3">
        <f t="shared" si="7"/>
        <v>0.15712176586337404</v>
      </c>
    </row>
    <row r="99" spans="1:14" x14ac:dyDescent="0.35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 s="9">
        <v>1</v>
      </c>
      <c r="H99" s="9">
        <v>1</v>
      </c>
      <c r="I99" s="9">
        <v>1</v>
      </c>
      <c r="J99" s="3">
        <f t="shared" si="4"/>
        <v>4</v>
      </c>
      <c r="K99">
        <v>1.5</v>
      </c>
      <c r="L99">
        <f t="shared" si="5"/>
        <v>2.2537081200000002</v>
      </c>
      <c r="M99">
        <f t="shared" si="6"/>
        <v>-0.7537081200000002</v>
      </c>
      <c r="N99" s="3">
        <f t="shared" si="7"/>
        <v>0.56807593015393476</v>
      </c>
    </row>
    <row r="100" spans="1:14" x14ac:dyDescent="0.35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 s="7">
        <v>1</v>
      </c>
      <c r="H100" s="7">
        <v>1</v>
      </c>
      <c r="I100" s="7">
        <v>1</v>
      </c>
      <c r="J100" s="3">
        <f t="shared" si="4"/>
        <v>4</v>
      </c>
      <c r="K100">
        <v>3</v>
      </c>
      <c r="L100">
        <f t="shared" si="5"/>
        <v>3.0479090400000004</v>
      </c>
      <c r="M100">
        <f t="shared" si="6"/>
        <v>-4.7909040000000402E-2</v>
      </c>
      <c r="N100" s="3">
        <f t="shared" si="7"/>
        <v>2.2952761137216386E-3</v>
      </c>
    </row>
    <row r="101" spans="1:14" x14ac:dyDescent="0.35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 s="9">
        <v>1</v>
      </c>
      <c r="H101" s="9">
        <v>0</v>
      </c>
      <c r="I101" s="9">
        <v>1</v>
      </c>
      <c r="J101" s="3">
        <f t="shared" si="4"/>
        <v>4</v>
      </c>
      <c r="K101">
        <v>1.5</v>
      </c>
      <c r="L101">
        <f t="shared" si="5"/>
        <v>2.3937088400000004</v>
      </c>
      <c r="M101">
        <f t="shared" si="6"/>
        <v>-0.89370884000000039</v>
      </c>
      <c r="N101" s="3">
        <f t="shared" si="7"/>
        <v>0.79871549069414627</v>
      </c>
    </row>
    <row r="102" spans="1:14" x14ac:dyDescent="0.35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 s="7">
        <v>0</v>
      </c>
      <c r="H102" s="7">
        <v>1</v>
      </c>
      <c r="I102" s="7">
        <v>1</v>
      </c>
      <c r="J102" s="3">
        <f t="shared" si="4"/>
        <v>4</v>
      </c>
      <c r="K102">
        <v>2.5</v>
      </c>
      <c r="L102">
        <f t="shared" si="5"/>
        <v>2.1658154000000005</v>
      </c>
      <c r="M102">
        <f t="shared" si="6"/>
        <v>0.3341845999999995</v>
      </c>
      <c r="N102" s="3">
        <f t="shared" si="7"/>
        <v>0.11167934687715966</v>
      </c>
    </row>
    <row r="103" spans="1:14" x14ac:dyDescent="0.35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 s="9">
        <v>0</v>
      </c>
      <c r="H103" s="9">
        <v>1</v>
      </c>
      <c r="I103" s="9">
        <v>1</v>
      </c>
      <c r="J103" s="3">
        <f t="shared" si="4"/>
        <v>4</v>
      </c>
      <c r="K103">
        <v>3</v>
      </c>
      <c r="L103">
        <f t="shared" si="5"/>
        <v>2.5265485200000004</v>
      </c>
      <c r="M103">
        <f t="shared" si="6"/>
        <v>0.47345147999999959</v>
      </c>
      <c r="N103" s="3">
        <f t="shared" si="7"/>
        <v>0.22415630391419</v>
      </c>
    </row>
    <row r="104" spans="1:14" x14ac:dyDescent="0.35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 s="7">
        <v>0</v>
      </c>
      <c r="H104" s="7">
        <v>1</v>
      </c>
      <c r="I104" s="7">
        <v>1</v>
      </c>
      <c r="J104" s="3">
        <f t="shared" si="4"/>
        <v>2</v>
      </c>
      <c r="K104">
        <v>2.5</v>
      </c>
      <c r="L104">
        <f t="shared" si="5"/>
        <v>5.3572062000000003</v>
      </c>
      <c r="M104">
        <f t="shared" si="6"/>
        <v>-2.8572062000000003</v>
      </c>
      <c r="N104" s="3">
        <f t="shared" si="7"/>
        <v>8.1636272693184413</v>
      </c>
    </row>
    <row r="105" spans="1:14" x14ac:dyDescent="0.35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 s="9">
        <v>0</v>
      </c>
      <c r="H105" s="9">
        <v>1</v>
      </c>
      <c r="I105" s="9">
        <v>1</v>
      </c>
      <c r="J105" s="3">
        <f t="shared" si="4"/>
        <v>2</v>
      </c>
      <c r="K105">
        <v>3.48</v>
      </c>
      <c r="L105">
        <f t="shared" si="5"/>
        <v>3.1174301200000003</v>
      </c>
      <c r="M105">
        <f t="shared" si="6"/>
        <v>0.36256987999999968</v>
      </c>
      <c r="N105" s="3">
        <f t="shared" si="7"/>
        <v>0.13145691788321417</v>
      </c>
    </row>
    <row r="106" spans="1:14" x14ac:dyDescent="0.35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 s="7">
        <v>0</v>
      </c>
      <c r="H106" s="7">
        <v>0</v>
      </c>
      <c r="I106" s="7">
        <v>1</v>
      </c>
      <c r="J106" s="3">
        <f t="shared" si="4"/>
        <v>2</v>
      </c>
      <c r="K106">
        <v>4.08</v>
      </c>
      <c r="L106">
        <f t="shared" si="5"/>
        <v>3.0637519200000001</v>
      </c>
      <c r="M106">
        <f t="shared" si="6"/>
        <v>1.01624808</v>
      </c>
      <c r="N106" s="3">
        <f t="shared" si="7"/>
        <v>1.0327601601036864</v>
      </c>
    </row>
    <row r="107" spans="1:14" x14ac:dyDescent="0.35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 s="9">
        <v>1</v>
      </c>
      <c r="H107" s="9">
        <v>1</v>
      </c>
      <c r="I107" s="9">
        <v>1</v>
      </c>
      <c r="J107" s="3">
        <f t="shared" si="4"/>
        <v>2</v>
      </c>
      <c r="K107">
        <v>1.64</v>
      </c>
      <c r="L107">
        <f t="shared" si="5"/>
        <v>2.5095023599999999</v>
      </c>
      <c r="M107">
        <f t="shared" si="6"/>
        <v>-0.86950236000000003</v>
      </c>
      <c r="N107" s="3">
        <f t="shared" si="7"/>
        <v>0.75603435404556962</v>
      </c>
    </row>
    <row r="108" spans="1:14" x14ac:dyDescent="0.35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 s="7">
        <v>1</v>
      </c>
      <c r="H108" s="7">
        <v>1</v>
      </c>
      <c r="I108" s="7">
        <v>1</v>
      </c>
      <c r="J108" s="3">
        <f t="shared" si="4"/>
        <v>2</v>
      </c>
      <c r="K108">
        <v>4.0599999999999996</v>
      </c>
      <c r="L108">
        <f t="shared" si="5"/>
        <v>2.9242496399999998</v>
      </c>
      <c r="M108">
        <f t="shared" si="6"/>
        <v>1.1357503599999998</v>
      </c>
      <c r="N108" s="3">
        <f t="shared" si="7"/>
        <v>1.2899288802401292</v>
      </c>
    </row>
    <row r="109" spans="1:14" x14ac:dyDescent="0.35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 s="9">
        <v>1</v>
      </c>
      <c r="H109" s="9">
        <v>1</v>
      </c>
      <c r="I109" s="9">
        <v>1</v>
      </c>
      <c r="J109" s="3">
        <f t="shared" si="4"/>
        <v>2</v>
      </c>
      <c r="K109">
        <v>4.29</v>
      </c>
      <c r="L109">
        <f t="shared" si="5"/>
        <v>3.35560846</v>
      </c>
      <c r="M109">
        <f t="shared" si="6"/>
        <v>0.93439154000000002</v>
      </c>
      <c r="N109" s="3">
        <f t="shared" si="7"/>
        <v>0.87308755002357163</v>
      </c>
    </row>
    <row r="110" spans="1:14" x14ac:dyDescent="0.35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 s="7">
        <v>1</v>
      </c>
      <c r="H110" s="7">
        <v>0</v>
      </c>
      <c r="I110" s="7">
        <v>1</v>
      </c>
      <c r="J110" s="3">
        <f t="shared" si="4"/>
        <v>2</v>
      </c>
      <c r="K110">
        <v>3.76</v>
      </c>
      <c r="L110">
        <f t="shared" si="5"/>
        <v>2.8235482399999996</v>
      </c>
      <c r="M110">
        <f t="shared" si="6"/>
        <v>0.93645176000000019</v>
      </c>
      <c r="N110" s="3">
        <f t="shared" si="7"/>
        <v>0.87694189880709794</v>
      </c>
    </row>
    <row r="111" spans="1:14" x14ac:dyDescent="0.35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 s="9">
        <v>0</v>
      </c>
      <c r="H111" s="9">
        <v>1</v>
      </c>
      <c r="I111" s="9">
        <v>1</v>
      </c>
      <c r="J111" s="3">
        <f t="shared" si="4"/>
        <v>2</v>
      </c>
      <c r="K111">
        <v>4</v>
      </c>
      <c r="L111">
        <f t="shared" si="5"/>
        <v>2.3534522400000002</v>
      </c>
      <c r="M111">
        <f t="shared" si="6"/>
        <v>1.6465477599999998</v>
      </c>
      <c r="N111" s="3">
        <f t="shared" si="7"/>
        <v>2.711119525961017</v>
      </c>
    </row>
    <row r="112" spans="1:14" x14ac:dyDescent="0.35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 s="7">
        <v>1</v>
      </c>
      <c r="H112" s="7">
        <v>0</v>
      </c>
      <c r="I112" s="7">
        <v>1</v>
      </c>
      <c r="J112" s="3">
        <f t="shared" si="4"/>
        <v>2</v>
      </c>
      <c r="K112">
        <v>3</v>
      </c>
      <c r="L112">
        <f t="shared" si="5"/>
        <v>2.4498480000000002</v>
      </c>
      <c r="M112">
        <f t="shared" si="6"/>
        <v>0.55015199999999975</v>
      </c>
      <c r="N112" s="3">
        <f t="shared" si="7"/>
        <v>0.30266722310399974</v>
      </c>
    </row>
    <row r="113" spans="1:14" x14ac:dyDescent="0.35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 s="9">
        <v>0</v>
      </c>
      <c r="H113" s="9">
        <v>0</v>
      </c>
      <c r="I113" s="9">
        <v>1</v>
      </c>
      <c r="J113" s="3">
        <f t="shared" si="4"/>
        <v>2</v>
      </c>
      <c r="K113">
        <v>1</v>
      </c>
      <c r="L113">
        <f t="shared" si="5"/>
        <v>1.685438</v>
      </c>
      <c r="M113">
        <f t="shared" si="6"/>
        <v>-0.68543799999999999</v>
      </c>
      <c r="N113" s="3">
        <f t="shared" si="7"/>
        <v>0.46982525184399998</v>
      </c>
    </row>
    <row r="114" spans="1:14" x14ac:dyDescent="0.35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 s="7">
        <v>1</v>
      </c>
      <c r="H114" s="7">
        <v>0</v>
      </c>
      <c r="I114" s="7">
        <v>1</v>
      </c>
      <c r="J114" s="3">
        <f t="shared" si="4"/>
        <v>1</v>
      </c>
      <c r="K114">
        <v>4</v>
      </c>
      <c r="L114">
        <f t="shared" si="5"/>
        <v>4.8185372799999993</v>
      </c>
      <c r="M114">
        <f t="shared" si="6"/>
        <v>-0.81853727999999926</v>
      </c>
      <c r="N114" s="3">
        <f t="shared" si="7"/>
        <v>0.67000327874979715</v>
      </c>
    </row>
    <row r="115" spans="1:14" x14ac:dyDescent="0.35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 s="9">
        <v>1</v>
      </c>
      <c r="H115" s="9">
        <v>0</v>
      </c>
      <c r="I115" s="9">
        <v>1</v>
      </c>
      <c r="J115" s="3">
        <f t="shared" si="4"/>
        <v>1</v>
      </c>
      <c r="K115">
        <v>2.5499999999999998</v>
      </c>
      <c r="L115">
        <f t="shared" si="5"/>
        <v>3.3579287000000004</v>
      </c>
      <c r="M115">
        <f t="shared" si="6"/>
        <v>-0.80792870000000061</v>
      </c>
      <c r="N115" s="3">
        <f t="shared" si="7"/>
        <v>0.65274878428369099</v>
      </c>
    </row>
    <row r="116" spans="1:14" x14ac:dyDescent="0.35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 s="7">
        <v>0</v>
      </c>
      <c r="H116" s="7">
        <v>0</v>
      </c>
      <c r="I116" s="7">
        <v>1</v>
      </c>
      <c r="J116" s="3">
        <f t="shared" si="4"/>
        <v>1</v>
      </c>
      <c r="K116">
        <v>4</v>
      </c>
      <c r="L116">
        <f t="shared" si="5"/>
        <v>3.67395184</v>
      </c>
      <c r="M116">
        <f t="shared" si="6"/>
        <v>0.32604816000000003</v>
      </c>
      <c r="N116" s="3">
        <f t="shared" si="7"/>
        <v>0.10630740263938562</v>
      </c>
    </row>
    <row r="117" spans="1:14" x14ac:dyDescent="0.35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 s="9">
        <v>0</v>
      </c>
      <c r="H117" s="9">
        <v>0</v>
      </c>
      <c r="I117" s="9">
        <v>1</v>
      </c>
      <c r="J117" s="3">
        <f t="shared" si="4"/>
        <v>1</v>
      </c>
      <c r="K117">
        <v>3.5</v>
      </c>
      <c r="L117">
        <f t="shared" si="5"/>
        <v>2.7193622400000002</v>
      </c>
      <c r="M117">
        <f t="shared" si="6"/>
        <v>0.78063775999999985</v>
      </c>
      <c r="N117" s="3">
        <f t="shared" si="7"/>
        <v>0.60939531233781741</v>
      </c>
    </row>
    <row r="118" spans="1:14" x14ac:dyDescent="0.35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 s="7">
        <v>1</v>
      </c>
      <c r="H118" s="7">
        <v>0</v>
      </c>
      <c r="I118" s="7">
        <v>1</v>
      </c>
      <c r="J118" s="3">
        <f t="shared" si="4"/>
        <v>1</v>
      </c>
      <c r="K118">
        <v>5.07</v>
      </c>
      <c r="L118">
        <f t="shared" si="5"/>
        <v>4.2272511799999997</v>
      </c>
      <c r="M118">
        <f t="shared" si="6"/>
        <v>0.84274882000000062</v>
      </c>
      <c r="N118" s="3">
        <f t="shared" si="7"/>
        <v>0.71022557361139349</v>
      </c>
    </row>
    <row r="119" spans="1:14" x14ac:dyDescent="0.35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 s="9">
        <v>0</v>
      </c>
      <c r="H119" s="9">
        <v>0</v>
      </c>
      <c r="I119" s="9">
        <v>0</v>
      </c>
      <c r="J119" s="3">
        <f t="shared" si="4"/>
        <v>3</v>
      </c>
      <c r="K119">
        <v>1.5</v>
      </c>
      <c r="L119">
        <f t="shared" si="5"/>
        <v>2.1766926</v>
      </c>
      <c r="M119">
        <f t="shared" si="6"/>
        <v>-0.67669259999999998</v>
      </c>
      <c r="N119" s="3">
        <f t="shared" si="7"/>
        <v>0.45791287489475996</v>
      </c>
    </row>
    <row r="120" spans="1:14" x14ac:dyDescent="0.35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 s="7">
        <v>0</v>
      </c>
      <c r="H120" s="7">
        <v>0</v>
      </c>
      <c r="I120" s="7">
        <v>0</v>
      </c>
      <c r="J120" s="3">
        <f t="shared" si="4"/>
        <v>3</v>
      </c>
      <c r="K120">
        <v>1.8</v>
      </c>
      <c r="L120">
        <f t="shared" si="5"/>
        <v>2.3340511199999998</v>
      </c>
      <c r="M120">
        <f t="shared" si="6"/>
        <v>-0.53405111999999977</v>
      </c>
      <c r="N120" s="3">
        <f t="shared" si="7"/>
        <v>0.28521059877325416</v>
      </c>
    </row>
    <row r="121" spans="1:14" x14ac:dyDescent="0.35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 s="9">
        <v>0</v>
      </c>
      <c r="H121" s="9">
        <v>0</v>
      </c>
      <c r="I121" s="9">
        <v>0</v>
      </c>
      <c r="J121" s="3">
        <f t="shared" si="4"/>
        <v>3</v>
      </c>
      <c r="K121">
        <v>2.92</v>
      </c>
      <c r="L121">
        <f t="shared" si="5"/>
        <v>3.7633290800000005</v>
      </c>
      <c r="M121">
        <f t="shared" si="6"/>
        <v>-0.84332908000000062</v>
      </c>
      <c r="N121" s="3">
        <f t="shared" si="7"/>
        <v>0.71120393717364749</v>
      </c>
    </row>
    <row r="122" spans="1:14" x14ac:dyDescent="0.35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 s="7">
        <v>1</v>
      </c>
      <c r="H122" s="7">
        <v>0</v>
      </c>
      <c r="I122" s="7">
        <v>0</v>
      </c>
      <c r="J122" s="3">
        <f t="shared" si="4"/>
        <v>3</v>
      </c>
      <c r="K122">
        <v>2.31</v>
      </c>
      <c r="L122">
        <f t="shared" si="5"/>
        <v>2.2528139400000002</v>
      </c>
      <c r="M122">
        <f t="shared" si="6"/>
        <v>5.7186059999999816E-2</v>
      </c>
      <c r="N122" s="3">
        <f t="shared" si="7"/>
        <v>3.2702454583235789E-3</v>
      </c>
    </row>
    <row r="123" spans="1:14" x14ac:dyDescent="0.35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 s="9">
        <v>0</v>
      </c>
      <c r="H123" s="9">
        <v>0</v>
      </c>
      <c r="I123" s="9">
        <v>0</v>
      </c>
      <c r="J123" s="3">
        <f t="shared" si="4"/>
        <v>3</v>
      </c>
      <c r="K123">
        <v>1.68</v>
      </c>
      <c r="L123">
        <f t="shared" si="5"/>
        <v>2.4287197199999997</v>
      </c>
      <c r="M123">
        <f t="shared" si="6"/>
        <v>-0.74871971999999976</v>
      </c>
      <c r="N123" s="3">
        <f t="shared" si="7"/>
        <v>0.56058121911687808</v>
      </c>
    </row>
    <row r="124" spans="1:14" x14ac:dyDescent="0.35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 s="7">
        <v>1</v>
      </c>
      <c r="H124" s="7">
        <v>0</v>
      </c>
      <c r="I124" s="7">
        <v>0</v>
      </c>
      <c r="J124" s="3">
        <f t="shared" si="4"/>
        <v>3</v>
      </c>
      <c r="K124">
        <v>2.5</v>
      </c>
      <c r="L124">
        <f t="shared" si="5"/>
        <v>2.4860710400000001</v>
      </c>
      <c r="M124">
        <f t="shared" si="6"/>
        <v>1.3928959999999879E-2</v>
      </c>
      <c r="N124" s="3">
        <f t="shared" si="7"/>
        <v>1.9401592668159663E-4</v>
      </c>
    </row>
    <row r="125" spans="1:14" x14ac:dyDescent="0.35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 s="9">
        <v>1</v>
      </c>
      <c r="H125" s="9">
        <v>0</v>
      </c>
      <c r="I125" s="9">
        <v>0</v>
      </c>
      <c r="J125" s="3">
        <f t="shared" si="4"/>
        <v>3</v>
      </c>
      <c r="K125">
        <v>2</v>
      </c>
      <c r="L125">
        <f t="shared" si="5"/>
        <v>2.6550327999999999</v>
      </c>
      <c r="M125">
        <f t="shared" si="6"/>
        <v>-0.65503279999999986</v>
      </c>
      <c r="N125" s="3">
        <f t="shared" si="7"/>
        <v>0.42906796907583983</v>
      </c>
    </row>
    <row r="126" spans="1:14" x14ac:dyDescent="0.35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 s="7">
        <v>0</v>
      </c>
      <c r="H126" s="7">
        <v>0</v>
      </c>
      <c r="I126" s="7">
        <v>0</v>
      </c>
      <c r="J126" s="3">
        <f t="shared" si="4"/>
        <v>3</v>
      </c>
      <c r="K126">
        <v>2.52</v>
      </c>
      <c r="L126">
        <f t="shared" si="5"/>
        <v>2.32073748</v>
      </c>
      <c r="M126">
        <f t="shared" si="6"/>
        <v>0.19926252</v>
      </c>
      <c r="N126" s="3">
        <f t="shared" si="7"/>
        <v>3.97055518767504E-2</v>
      </c>
    </row>
    <row r="127" spans="1:14" x14ac:dyDescent="0.35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 s="9">
        <v>0</v>
      </c>
      <c r="H127" s="9">
        <v>0</v>
      </c>
      <c r="I127" s="9">
        <v>0</v>
      </c>
      <c r="J127" s="3">
        <f t="shared" si="4"/>
        <v>3</v>
      </c>
      <c r="K127">
        <v>4.2</v>
      </c>
      <c r="L127">
        <f t="shared" si="5"/>
        <v>4.6394777999999999</v>
      </c>
      <c r="M127">
        <f t="shared" si="6"/>
        <v>-0.4394777999999997</v>
      </c>
      <c r="N127" s="3">
        <f t="shared" si="7"/>
        <v>0.19314073669283974</v>
      </c>
    </row>
    <row r="128" spans="1:14" x14ac:dyDescent="0.35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 s="7">
        <v>1</v>
      </c>
      <c r="H128" s="7">
        <v>0</v>
      </c>
      <c r="I128" s="7">
        <v>0</v>
      </c>
      <c r="J128" s="3">
        <f t="shared" si="4"/>
        <v>3</v>
      </c>
      <c r="K128">
        <v>1.48</v>
      </c>
      <c r="L128">
        <f t="shared" si="5"/>
        <v>1.9799445200000003</v>
      </c>
      <c r="M128">
        <f t="shared" si="6"/>
        <v>-0.49994452000000034</v>
      </c>
      <c r="N128" s="3">
        <f t="shared" si="7"/>
        <v>0.24994452307803072</v>
      </c>
    </row>
    <row r="129" spans="1:14" x14ac:dyDescent="0.35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 s="9">
        <v>0</v>
      </c>
      <c r="H129" s="9">
        <v>0</v>
      </c>
      <c r="I129" s="9">
        <v>0</v>
      </c>
      <c r="J129" s="3">
        <f t="shared" si="4"/>
        <v>3</v>
      </c>
      <c r="K129">
        <v>2</v>
      </c>
      <c r="L129">
        <f t="shared" si="5"/>
        <v>2.5226090799999996</v>
      </c>
      <c r="M129">
        <f t="shared" si="6"/>
        <v>-0.52260907999999962</v>
      </c>
      <c r="N129" s="3">
        <f t="shared" si="7"/>
        <v>0.27312025049844602</v>
      </c>
    </row>
    <row r="130" spans="1:14" x14ac:dyDescent="0.35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 s="7">
        <v>0</v>
      </c>
      <c r="H130" s="7">
        <v>0</v>
      </c>
      <c r="I130" s="7">
        <v>0</v>
      </c>
      <c r="J130" s="3">
        <f t="shared" ref="J130:J193" si="8">IF(C130="Sun",1,IF(C130="sat",2,IF(C130="thur",3,4)))</f>
        <v>3</v>
      </c>
      <c r="K130">
        <v>2</v>
      </c>
      <c r="L130">
        <f t="shared" ref="L130:L193" si="9">0.775857+0.092604*F130+0.189177*E130-0.100181*H130+0.024859*I130+0.024544*J130-0.024922*K130</f>
        <v>2.2318325200000002</v>
      </c>
      <c r="M130">
        <f t="shared" ref="M130:M193" si="10">K130-L130</f>
        <v>-0.23183252000000021</v>
      </c>
      <c r="N130" s="3">
        <f t="shared" ref="N130:N193" si="11">M130^2</f>
        <v>5.37463173295505E-2</v>
      </c>
    </row>
    <row r="131" spans="1:14" x14ac:dyDescent="0.35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 s="9">
        <v>1</v>
      </c>
      <c r="H131" s="9">
        <v>0</v>
      </c>
      <c r="I131" s="9">
        <v>0</v>
      </c>
      <c r="J131" s="3">
        <f t="shared" si="8"/>
        <v>3</v>
      </c>
      <c r="K131">
        <v>2.1800000000000002</v>
      </c>
      <c r="L131">
        <f t="shared" si="9"/>
        <v>3.4759133199999996</v>
      </c>
      <c r="M131">
        <f t="shared" si="10"/>
        <v>-1.2959133199999995</v>
      </c>
      <c r="N131" s="3">
        <f t="shared" si="11"/>
        <v>1.6793913329534211</v>
      </c>
    </row>
    <row r="132" spans="1:14" x14ac:dyDescent="0.35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 s="7">
        <v>1</v>
      </c>
      <c r="H132" s="7">
        <v>0</v>
      </c>
      <c r="I132" s="7">
        <v>0</v>
      </c>
      <c r="J132" s="3">
        <f t="shared" si="8"/>
        <v>3</v>
      </c>
      <c r="K132">
        <v>1.5</v>
      </c>
      <c r="L132">
        <f t="shared" si="9"/>
        <v>2.9573443199999998</v>
      </c>
      <c r="M132">
        <f t="shared" si="10"/>
        <v>-1.4573443199999998</v>
      </c>
      <c r="N132" s="3">
        <f t="shared" si="11"/>
        <v>2.123852467036262</v>
      </c>
    </row>
    <row r="133" spans="1:14" x14ac:dyDescent="0.35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 s="9">
        <v>0</v>
      </c>
      <c r="H133" s="9">
        <v>0</v>
      </c>
      <c r="I133" s="9">
        <v>0</v>
      </c>
      <c r="J133" s="3">
        <f t="shared" si="8"/>
        <v>3</v>
      </c>
      <c r="K133">
        <v>2.83</v>
      </c>
      <c r="L133">
        <f t="shared" si="9"/>
        <v>3.03439682</v>
      </c>
      <c r="M133">
        <f t="shared" si="10"/>
        <v>-0.20439681999999992</v>
      </c>
      <c r="N133" s="3">
        <f t="shared" si="11"/>
        <v>4.1778060026112368E-2</v>
      </c>
    </row>
    <row r="134" spans="1:14" x14ac:dyDescent="0.35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 s="7">
        <v>0</v>
      </c>
      <c r="H134" s="7">
        <v>0</v>
      </c>
      <c r="I134" s="7">
        <v>0</v>
      </c>
      <c r="J134" s="3">
        <f t="shared" si="8"/>
        <v>3</v>
      </c>
      <c r="K134">
        <v>1.5</v>
      </c>
      <c r="L134">
        <f t="shared" si="9"/>
        <v>2.2248466799999997</v>
      </c>
      <c r="M134">
        <f t="shared" si="10"/>
        <v>-0.72484667999999974</v>
      </c>
      <c r="N134" s="3">
        <f t="shared" si="11"/>
        <v>0.52540270950702206</v>
      </c>
    </row>
    <row r="135" spans="1:14" x14ac:dyDescent="0.35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 s="9">
        <v>0</v>
      </c>
      <c r="H135" s="9">
        <v>0</v>
      </c>
      <c r="I135" s="9">
        <v>0</v>
      </c>
      <c r="J135" s="3">
        <f t="shared" si="8"/>
        <v>3</v>
      </c>
      <c r="K135">
        <v>2</v>
      </c>
      <c r="L135">
        <f t="shared" si="9"/>
        <v>2.3133240400000004</v>
      </c>
      <c r="M135">
        <f t="shared" si="10"/>
        <v>-0.31332404000000036</v>
      </c>
      <c r="N135" s="3">
        <f t="shared" si="11"/>
        <v>9.8171954041921819E-2</v>
      </c>
    </row>
    <row r="136" spans="1:14" x14ac:dyDescent="0.35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 s="7">
        <v>0</v>
      </c>
      <c r="H136" s="7">
        <v>0</v>
      </c>
      <c r="I136" s="7">
        <v>0</v>
      </c>
      <c r="J136" s="3">
        <f t="shared" si="8"/>
        <v>3</v>
      </c>
      <c r="K136">
        <v>3.25</v>
      </c>
      <c r="L136">
        <f t="shared" si="9"/>
        <v>2.8377955400000001</v>
      </c>
      <c r="M136">
        <f t="shared" si="10"/>
        <v>0.41220445999999988</v>
      </c>
      <c r="N136" s="3">
        <f t="shared" si="11"/>
        <v>0.1699125168438915</v>
      </c>
    </row>
    <row r="137" spans="1:14" x14ac:dyDescent="0.35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 s="9">
        <v>0</v>
      </c>
      <c r="H137" s="9">
        <v>0</v>
      </c>
      <c r="I137" s="9">
        <v>0</v>
      </c>
      <c r="J137" s="3">
        <f t="shared" si="8"/>
        <v>3</v>
      </c>
      <c r="K137">
        <v>1.25</v>
      </c>
      <c r="L137">
        <f t="shared" si="9"/>
        <v>1.9847505400000005</v>
      </c>
      <c r="M137">
        <f t="shared" si="10"/>
        <v>-0.73475054000000051</v>
      </c>
      <c r="N137" s="3">
        <f t="shared" si="11"/>
        <v>0.53985835603029231</v>
      </c>
    </row>
    <row r="138" spans="1:14" x14ac:dyDescent="0.35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 s="7">
        <v>0</v>
      </c>
      <c r="H138" s="7">
        <v>0</v>
      </c>
      <c r="I138" s="7">
        <v>0</v>
      </c>
      <c r="J138" s="3">
        <f t="shared" si="8"/>
        <v>3</v>
      </c>
      <c r="K138">
        <v>2</v>
      </c>
      <c r="L138">
        <f t="shared" si="9"/>
        <v>2.1345983200000003</v>
      </c>
      <c r="M138">
        <f t="shared" si="10"/>
        <v>-0.13459832000000027</v>
      </c>
      <c r="N138" s="3">
        <f t="shared" si="11"/>
        <v>1.8116707746822475E-2</v>
      </c>
    </row>
    <row r="139" spans="1:14" x14ac:dyDescent="0.35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 s="9">
        <v>0</v>
      </c>
      <c r="H139" s="9">
        <v>0</v>
      </c>
      <c r="I139" s="9">
        <v>0</v>
      </c>
      <c r="J139" s="3">
        <f t="shared" si="8"/>
        <v>3</v>
      </c>
      <c r="K139">
        <v>2</v>
      </c>
      <c r="L139">
        <f t="shared" si="9"/>
        <v>2.4883455999999997</v>
      </c>
      <c r="M139">
        <f t="shared" si="10"/>
        <v>-0.48834559999999971</v>
      </c>
      <c r="N139" s="3">
        <f t="shared" si="11"/>
        <v>0.23848142503935971</v>
      </c>
    </row>
    <row r="140" spans="1:14" x14ac:dyDescent="0.35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 s="7">
        <v>1</v>
      </c>
      <c r="H140" s="7">
        <v>1</v>
      </c>
      <c r="I140" s="7">
        <v>0</v>
      </c>
      <c r="J140" s="3">
        <f t="shared" si="8"/>
        <v>3</v>
      </c>
      <c r="K140">
        <v>2</v>
      </c>
      <c r="L140">
        <f t="shared" si="9"/>
        <v>2.559482</v>
      </c>
      <c r="M140">
        <f t="shared" si="10"/>
        <v>-0.55948200000000003</v>
      </c>
      <c r="N140" s="3">
        <f t="shared" si="11"/>
        <v>0.31302010832400001</v>
      </c>
    </row>
    <row r="141" spans="1:14" x14ac:dyDescent="0.35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 s="9">
        <v>0</v>
      </c>
      <c r="H141" s="9">
        <v>0</v>
      </c>
      <c r="I141" s="9">
        <v>0</v>
      </c>
      <c r="J141" s="3">
        <f t="shared" si="8"/>
        <v>3</v>
      </c>
      <c r="K141">
        <v>2.75</v>
      </c>
      <c r="L141">
        <f t="shared" si="9"/>
        <v>2.3779761400000003</v>
      </c>
      <c r="M141">
        <f t="shared" si="10"/>
        <v>0.37202385999999965</v>
      </c>
      <c r="N141" s="3">
        <f t="shared" si="11"/>
        <v>0.13840175240929933</v>
      </c>
    </row>
    <row r="142" spans="1:14" x14ac:dyDescent="0.35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 s="7">
        <v>0</v>
      </c>
      <c r="H142" s="7">
        <v>0</v>
      </c>
      <c r="I142" s="7">
        <v>0</v>
      </c>
      <c r="J142" s="3">
        <f t="shared" si="8"/>
        <v>3</v>
      </c>
      <c r="K142">
        <v>3.5</v>
      </c>
      <c r="L142">
        <f t="shared" si="9"/>
        <v>2.7584078799999996</v>
      </c>
      <c r="M142">
        <f t="shared" si="10"/>
        <v>0.74159212000000041</v>
      </c>
      <c r="N142" s="3">
        <f t="shared" si="11"/>
        <v>0.54995887244609498</v>
      </c>
    </row>
    <row r="143" spans="1:14" x14ac:dyDescent="0.35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 s="9">
        <v>1</v>
      </c>
      <c r="H143" s="9">
        <v>0</v>
      </c>
      <c r="I143" s="9">
        <v>0</v>
      </c>
      <c r="J143" s="3">
        <f t="shared" si="8"/>
        <v>3</v>
      </c>
      <c r="K143">
        <v>6.7</v>
      </c>
      <c r="L143">
        <f t="shared" si="9"/>
        <v>4.9938907999999991</v>
      </c>
      <c r="M143">
        <f t="shared" si="10"/>
        <v>1.7061092000000011</v>
      </c>
      <c r="N143" s="3">
        <f t="shared" si="11"/>
        <v>2.9108086023246438</v>
      </c>
    </row>
    <row r="144" spans="1:14" x14ac:dyDescent="0.35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 s="7">
        <v>1</v>
      </c>
      <c r="H144" s="7">
        <v>0</v>
      </c>
      <c r="I144" s="7">
        <v>0</v>
      </c>
      <c r="J144" s="3">
        <f t="shared" si="8"/>
        <v>3</v>
      </c>
      <c r="K144">
        <v>5</v>
      </c>
      <c r="L144">
        <f t="shared" si="9"/>
        <v>5.4851227600000003</v>
      </c>
      <c r="M144">
        <f t="shared" si="10"/>
        <v>-0.48512276000000032</v>
      </c>
      <c r="N144" s="3">
        <f t="shared" si="11"/>
        <v>0.2353440922700179</v>
      </c>
    </row>
    <row r="145" spans="1:14" x14ac:dyDescent="0.35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 s="9">
        <v>0</v>
      </c>
      <c r="H145" s="9">
        <v>0</v>
      </c>
      <c r="I145" s="9">
        <v>0</v>
      </c>
      <c r="J145" s="3">
        <f t="shared" si="8"/>
        <v>3</v>
      </c>
      <c r="K145">
        <v>5</v>
      </c>
      <c r="L145">
        <f t="shared" si="9"/>
        <v>4.3648791999999998</v>
      </c>
      <c r="M145">
        <f t="shared" si="10"/>
        <v>0.63512080000000015</v>
      </c>
      <c r="N145" s="3">
        <f t="shared" si="11"/>
        <v>0.40337843059264017</v>
      </c>
    </row>
    <row r="146" spans="1:14" x14ac:dyDescent="0.35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 s="7">
        <v>0</v>
      </c>
      <c r="H146" s="7">
        <v>0</v>
      </c>
      <c r="I146" s="7">
        <v>0</v>
      </c>
      <c r="J146" s="3">
        <f t="shared" si="8"/>
        <v>3</v>
      </c>
      <c r="K146">
        <v>2.2999999999999998</v>
      </c>
      <c r="L146">
        <f t="shared" si="9"/>
        <v>2.6920061199999998</v>
      </c>
      <c r="M146">
        <f t="shared" si="10"/>
        <v>-0.39200612000000001</v>
      </c>
      <c r="N146" s="3">
        <f t="shared" si="11"/>
        <v>0.1536687981174544</v>
      </c>
    </row>
    <row r="147" spans="1:14" x14ac:dyDescent="0.35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 s="9">
        <v>0</v>
      </c>
      <c r="H147" s="9">
        <v>0</v>
      </c>
      <c r="I147" s="9">
        <v>0</v>
      </c>
      <c r="J147" s="3">
        <f t="shared" si="8"/>
        <v>3</v>
      </c>
      <c r="K147">
        <v>1.5</v>
      </c>
      <c r="L147">
        <f t="shared" si="9"/>
        <v>1.9637034000000002</v>
      </c>
      <c r="M147">
        <f t="shared" si="10"/>
        <v>-0.46370340000000021</v>
      </c>
      <c r="N147" s="3">
        <f t="shared" si="11"/>
        <v>0.2150208431715602</v>
      </c>
    </row>
    <row r="148" spans="1:14" x14ac:dyDescent="0.35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 s="7">
        <v>0</v>
      </c>
      <c r="H148" s="7">
        <v>0</v>
      </c>
      <c r="I148" s="7">
        <v>0</v>
      </c>
      <c r="J148" s="3">
        <f t="shared" si="8"/>
        <v>3</v>
      </c>
      <c r="K148">
        <v>1.36</v>
      </c>
      <c r="L148">
        <f t="shared" si="9"/>
        <v>3.1092646399999997</v>
      </c>
      <c r="M148">
        <f t="shared" si="10"/>
        <v>-1.7492646399999996</v>
      </c>
      <c r="N148" s="3">
        <f t="shared" si="11"/>
        <v>3.0599267807543282</v>
      </c>
    </row>
    <row r="149" spans="1:14" x14ac:dyDescent="0.35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 s="9">
        <v>0</v>
      </c>
      <c r="H149" s="9">
        <v>0</v>
      </c>
      <c r="I149" s="9">
        <v>0</v>
      </c>
      <c r="J149" s="3">
        <f t="shared" si="8"/>
        <v>3</v>
      </c>
      <c r="K149">
        <v>1.63</v>
      </c>
      <c r="L149">
        <f t="shared" si="9"/>
        <v>2.2864296199999998</v>
      </c>
      <c r="M149">
        <f t="shared" si="10"/>
        <v>-0.65642961999999994</v>
      </c>
      <c r="N149" s="3">
        <f t="shared" si="11"/>
        <v>0.4308998460133443</v>
      </c>
    </row>
    <row r="150" spans="1:14" x14ac:dyDescent="0.35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 s="7">
        <v>1</v>
      </c>
      <c r="H150" s="7">
        <v>0</v>
      </c>
      <c r="I150" s="7">
        <v>0</v>
      </c>
      <c r="J150" s="3">
        <f t="shared" si="8"/>
        <v>3</v>
      </c>
      <c r="K150">
        <v>1.73</v>
      </c>
      <c r="L150">
        <f t="shared" si="9"/>
        <v>2.0903950600000001</v>
      </c>
      <c r="M150">
        <f t="shared" si="10"/>
        <v>-0.3603950600000001</v>
      </c>
      <c r="N150" s="3">
        <f t="shared" si="11"/>
        <v>0.12988459927240367</v>
      </c>
    </row>
    <row r="151" spans="1:14" x14ac:dyDescent="0.35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 s="9">
        <v>1</v>
      </c>
      <c r="H151" s="9">
        <v>0</v>
      </c>
      <c r="I151" s="9">
        <v>0</v>
      </c>
      <c r="J151" s="3">
        <f t="shared" si="8"/>
        <v>3</v>
      </c>
      <c r="K151">
        <v>2</v>
      </c>
      <c r="L151">
        <f t="shared" si="9"/>
        <v>1.8734550400000001</v>
      </c>
      <c r="M151">
        <f t="shared" si="10"/>
        <v>0.12654495999999993</v>
      </c>
      <c r="N151" s="3">
        <f t="shared" si="11"/>
        <v>1.6013626901401581E-2</v>
      </c>
    </row>
    <row r="152" spans="1:14" x14ac:dyDescent="0.35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 s="7">
        <v>1</v>
      </c>
      <c r="H152" s="7">
        <v>0</v>
      </c>
      <c r="I152" s="7">
        <v>1</v>
      </c>
      <c r="J152" s="3">
        <f t="shared" si="8"/>
        <v>1</v>
      </c>
      <c r="K152">
        <v>2.5</v>
      </c>
      <c r="L152">
        <f t="shared" si="9"/>
        <v>2.4442472800000004</v>
      </c>
      <c r="M152">
        <f t="shared" si="10"/>
        <v>5.5752719999999645E-2</v>
      </c>
      <c r="N152" s="3">
        <f t="shared" si="11"/>
        <v>3.1083657873983606E-3</v>
      </c>
    </row>
    <row r="153" spans="1:14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 s="9">
        <v>1</v>
      </c>
      <c r="H153" s="9">
        <v>0</v>
      </c>
      <c r="I153" s="9">
        <v>1</v>
      </c>
      <c r="J153" s="3">
        <f t="shared" si="8"/>
        <v>1</v>
      </c>
      <c r="K153">
        <v>2</v>
      </c>
      <c r="L153">
        <f t="shared" si="9"/>
        <v>2.36966052</v>
      </c>
      <c r="M153">
        <f t="shared" si="10"/>
        <v>-0.36966052000000005</v>
      </c>
      <c r="N153" s="3">
        <f t="shared" si="11"/>
        <v>0.13664890004667044</v>
      </c>
    </row>
    <row r="154" spans="1:14" x14ac:dyDescent="0.35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 s="7">
        <v>1</v>
      </c>
      <c r="H154" s="7">
        <v>0</v>
      </c>
      <c r="I154" s="7">
        <v>1</v>
      </c>
      <c r="J154" s="3">
        <f t="shared" si="8"/>
        <v>1</v>
      </c>
      <c r="K154">
        <v>2.74</v>
      </c>
      <c r="L154">
        <f t="shared" si="9"/>
        <v>2.9228497600000001</v>
      </c>
      <c r="M154">
        <f t="shared" si="10"/>
        <v>-0.18284975999999986</v>
      </c>
      <c r="N154" s="3">
        <f t="shared" si="11"/>
        <v>3.3434034732057548E-2</v>
      </c>
    </row>
    <row r="155" spans="1:14" x14ac:dyDescent="0.35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 s="9">
        <v>1</v>
      </c>
      <c r="H155" s="9">
        <v>0</v>
      </c>
      <c r="I155" s="9">
        <v>1</v>
      </c>
      <c r="J155" s="3">
        <f t="shared" si="8"/>
        <v>1</v>
      </c>
      <c r="K155">
        <v>2</v>
      </c>
      <c r="L155">
        <f t="shared" si="9"/>
        <v>3.8055522000000002</v>
      </c>
      <c r="M155">
        <f t="shared" si="10"/>
        <v>-1.8055522000000002</v>
      </c>
      <c r="N155" s="3">
        <f t="shared" si="11"/>
        <v>3.2600187469248407</v>
      </c>
    </row>
    <row r="156" spans="1:14" x14ac:dyDescent="0.35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 s="7">
        <v>1</v>
      </c>
      <c r="H156" s="7">
        <v>0</v>
      </c>
      <c r="I156" s="7">
        <v>1</v>
      </c>
      <c r="J156" s="3">
        <f t="shared" si="8"/>
        <v>1</v>
      </c>
      <c r="K156">
        <v>2</v>
      </c>
      <c r="L156">
        <f t="shared" si="9"/>
        <v>3.3629050800000009</v>
      </c>
      <c r="M156">
        <f t="shared" si="10"/>
        <v>-1.3629050800000009</v>
      </c>
      <c r="N156" s="3">
        <f t="shared" si="11"/>
        <v>1.8575102570898088</v>
      </c>
    </row>
    <row r="157" spans="1:14" x14ac:dyDescent="0.35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 s="9">
        <v>0</v>
      </c>
      <c r="H157" s="9">
        <v>0</v>
      </c>
      <c r="I157" s="9">
        <v>1</v>
      </c>
      <c r="J157" s="3">
        <f t="shared" si="8"/>
        <v>1</v>
      </c>
      <c r="K157">
        <v>5.14</v>
      </c>
      <c r="L157">
        <f t="shared" si="9"/>
        <v>4.4072753200000001</v>
      </c>
      <c r="M157">
        <f t="shared" si="10"/>
        <v>0.73272467999999957</v>
      </c>
      <c r="N157" s="3">
        <f t="shared" si="11"/>
        <v>0.53688545668110177</v>
      </c>
    </row>
    <row r="158" spans="1:14" x14ac:dyDescent="0.35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 s="7">
        <v>1</v>
      </c>
      <c r="H158" s="7">
        <v>0</v>
      </c>
      <c r="I158" s="7">
        <v>1</v>
      </c>
      <c r="J158" s="3">
        <f t="shared" si="8"/>
        <v>1</v>
      </c>
      <c r="K158">
        <v>5</v>
      </c>
      <c r="L158">
        <f t="shared" si="9"/>
        <v>6.2964466800000016</v>
      </c>
      <c r="M158">
        <f t="shared" si="10"/>
        <v>-1.2964466800000016</v>
      </c>
      <c r="N158" s="3">
        <f t="shared" si="11"/>
        <v>1.6807739940830266</v>
      </c>
    </row>
    <row r="159" spans="1:14" x14ac:dyDescent="0.35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 s="9">
        <v>0</v>
      </c>
      <c r="H159" s="9">
        <v>0</v>
      </c>
      <c r="I159" s="9">
        <v>1</v>
      </c>
      <c r="J159" s="3">
        <f t="shared" si="8"/>
        <v>1</v>
      </c>
      <c r="K159">
        <v>3.75</v>
      </c>
      <c r="L159">
        <f t="shared" si="9"/>
        <v>3.8036105000000009</v>
      </c>
      <c r="M159">
        <f t="shared" si="10"/>
        <v>-5.3610500000000894E-2</v>
      </c>
      <c r="N159" s="3">
        <f t="shared" si="11"/>
        <v>2.8740857102500959E-3</v>
      </c>
    </row>
    <row r="160" spans="1:14" x14ac:dyDescent="0.35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 s="7">
        <v>0</v>
      </c>
      <c r="H160" s="7">
        <v>0</v>
      </c>
      <c r="I160" s="7">
        <v>1</v>
      </c>
      <c r="J160" s="3">
        <f t="shared" si="8"/>
        <v>1</v>
      </c>
      <c r="K160">
        <v>2.61</v>
      </c>
      <c r="L160">
        <f t="shared" si="9"/>
        <v>2.3785351400000008</v>
      </c>
      <c r="M160">
        <f t="shared" si="10"/>
        <v>0.23146485999999911</v>
      </c>
      <c r="N160" s="3">
        <f t="shared" si="11"/>
        <v>5.3575981414819188E-2</v>
      </c>
    </row>
    <row r="161" spans="1:14" x14ac:dyDescent="0.35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 s="9">
        <v>1</v>
      </c>
      <c r="H161" s="9">
        <v>0</v>
      </c>
      <c r="I161" s="9">
        <v>1</v>
      </c>
      <c r="J161" s="3">
        <f t="shared" si="8"/>
        <v>1</v>
      </c>
      <c r="K161">
        <v>2</v>
      </c>
      <c r="L161">
        <f t="shared" si="9"/>
        <v>3.0591639600000002</v>
      </c>
      <c r="M161">
        <f t="shared" si="10"/>
        <v>-1.0591639600000002</v>
      </c>
      <c r="N161" s="3">
        <f t="shared" si="11"/>
        <v>1.1218282941628821</v>
      </c>
    </row>
    <row r="162" spans="1:14" x14ac:dyDescent="0.35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 s="7">
        <v>1</v>
      </c>
      <c r="H162" s="7">
        <v>0</v>
      </c>
      <c r="I162" s="7">
        <v>1</v>
      </c>
      <c r="J162" s="3">
        <f t="shared" si="8"/>
        <v>1</v>
      </c>
      <c r="K162">
        <v>3.5</v>
      </c>
      <c r="L162">
        <f t="shared" si="9"/>
        <v>3.4857270000000007</v>
      </c>
      <c r="M162">
        <f t="shared" si="10"/>
        <v>1.4272999999999314E-2</v>
      </c>
      <c r="N162" s="3">
        <f t="shared" si="11"/>
        <v>2.0371852899998041E-4</v>
      </c>
    </row>
    <row r="163" spans="1:14" x14ac:dyDescent="0.35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 s="9">
        <v>1</v>
      </c>
      <c r="H163" s="9">
        <v>0</v>
      </c>
      <c r="I163" s="9">
        <v>1</v>
      </c>
      <c r="J163" s="3">
        <f t="shared" si="8"/>
        <v>1</v>
      </c>
      <c r="K163">
        <v>2.5</v>
      </c>
      <c r="L163">
        <f t="shared" si="9"/>
        <v>2.3136756400000005</v>
      </c>
      <c r="M163">
        <f t="shared" si="10"/>
        <v>0.18632435999999952</v>
      </c>
      <c r="N163" s="3">
        <f t="shared" si="11"/>
        <v>3.4716767129409423E-2</v>
      </c>
    </row>
    <row r="164" spans="1:14" x14ac:dyDescent="0.35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 s="7">
        <v>0</v>
      </c>
      <c r="H164" s="7">
        <v>0</v>
      </c>
      <c r="I164" s="7">
        <v>1</v>
      </c>
      <c r="J164" s="3">
        <f t="shared" si="8"/>
        <v>1</v>
      </c>
      <c r="K164">
        <v>2</v>
      </c>
      <c r="L164">
        <f t="shared" si="9"/>
        <v>2.8440578400000005</v>
      </c>
      <c r="M164">
        <f t="shared" si="10"/>
        <v>-0.8440578400000005</v>
      </c>
      <c r="N164" s="3">
        <f t="shared" si="11"/>
        <v>0.71243363726546649</v>
      </c>
    </row>
    <row r="165" spans="1:14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 s="9">
        <v>1</v>
      </c>
      <c r="H165" s="9">
        <v>0</v>
      </c>
      <c r="I165" s="9">
        <v>1</v>
      </c>
      <c r="J165" s="3">
        <f t="shared" si="8"/>
        <v>1</v>
      </c>
      <c r="K165">
        <v>2</v>
      </c>
      <c r="L165">
        <f t="shared" si="9"/>
        <v>2.4326312400000001</v>
      </c>
      <c r="M165">
        <f t="shared" si="10"/>
        <v>-0.43263124000000008</v>
      </c>
      <c r="N165" s="3">
        <f t="shared" si="11"/>
        <v>0.18716978982393767</v>
      </c>
    </row>
    <row r="166" spans="1:14" x14ac:dyDescent="0.35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 s="7">
        <v>0</v>
      </c>
      <c r="H166" s="7">
        <v>1</v>
      </c>
      <c r="I166" s="7">
        <v>1</v>
      </c>
      <c r="J166" s="3">
        <f t="shared" si="8"/>
        <v>1</v>
      </c>
      <c r="K166">
        <v>3</v>
      </c>
      <c r="L166">
        <f t="shared" si="9"/>
        <v>2.6501630400000007</v>
      </c>
      <c r="M166">
        <f t="shared" si="10"/>
        <v>0.34983695999999931</v>
      </c>
      <c r="N166" s="3">
        <f t="shared" si="11"/>
        <v>0.12238589858204112</v>
      </c>
    </row>
    <row r="167" spans="1:14" x14ac:dyDescent="0.35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 s="9">
        <v>1</v>
      </c>
      <c r="H167" s="9">
        <v>0</v>
      </c>
      <c r="I167" s="9">
        <v>1</v>
      </c>
      <c r="J167" s="3">
        <f t="shared" si="8"/>
        <v>1</v>
      </c>
      <c r="K167">
        <v>3.48</v>
      </c>
      <c r="L167">
        <f t="shared" si="9"/>
        <v>3.5767125200000005</v>
      </c>
      <c r="M167">
        <f t="shared" si="10"/>
        <v>-9.6712520000000524E-2</v>
      </c>
      <c r="N167" s="3">
        <f t="shared" si="11"/>
        <v>9.3533115247505013E-3</v>
      </c>
    </row>
    <row r="168" spans="1:14" x14ac:dyDescent="0.35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 s="7">
        <v>1</v>
      </c>
      <c r="H168" s="7">
        <v>0</v>
      </c>
      <c r="I168" s="7">
        <v>1</v>
      </c>
      <c r="J168" s="3">
        <f t="shared" si="8"/>
        <v>1</v>
      </c>
      <c r="K168">
        <v>2.2400000000000002</v>
      </c>
      <c r="L168">
        <f t="shared" si="9"/>
        <v>3.0702477600000004</v>
      </c>
      <c r="M168">
        <f t="shared" si="10"/>
        <v>-0.83024776000000022</v>
      </c>
      <c r="N168" s="3">
        <f t="shared" si="11"/>
        <v>0.68931134298501795</v>
      </c>
    </row>
    <row r="169" spans="1:14" x14ac:dyDescent="0.35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 s="9">
        <v>1</v>
      </c>
      <c r="H169" s="9">
        <v>0</v>
      </c>
      <c r="I169" s="9">
        <v>1</v>
      </c>
      <c r="J169" s="3">
        <f t="shared" si="8"/>
        <v>1</v>
      </c>
      <c r="K169">
        <v>4.5</v>
      </c>
      <c r="L169">
        <f t="shared" si="9"/>
        <v>4.4062918400000006</v>
      </c>
      <c r="M169">
        <f t="shared" si="10"/>
        <v>9.3708159999999374E-2</v>
      </c>
      <c r="N169" s="3">
        <f t="shared" si="11"/>
        <v>8.7812192505854827E-3</v>
      </c>
    </row>
    <row r="170" spans="1:14" x14ac:dyDescent="0.35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 s="7">
        <v>0</v>
      </c>
      <c r="H170" s="7">
        <v>1</v>
      </c>
      <c r="I170" s="7">
        <v>1</v>
      </c>
      <c r="J170" s="3">
        <f t="shared" si="8"/>
        <v>2</v>
      </c>
      <c r="K170">
        <v>1.61</v>
      </c>
      <c r="L170">
        <f t="shared" si="9"/>
        <v>2.0685289399999998</v>
      </c>
      <c r="M170">
        <f t="shared" si="10"/>
        <v>-0.45852893999999966</v>
      </c>
      <c r="N170" s="3">
        <f t="shared" si="11"/>
        <v>0.21024878881752329</v>
      </c>
    </row>
    <row r="171" spans="1:14" x14ac:dyDescent="0.35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 s="9">
        <v>0</v>
      </c>
      <c r="H171" s="9">
        <v>1</v>
      </c>
      <c r="I171" s="9">
        <v>1</v>
      </c>
      <c r="J171" s="3">
        <f t="shared" si="8"/>
        <v>2</v>
      </c>
      <c r="K171">
        <v>2</v>
      </c>
      <c r="L171">
        <f t="shared" si="9"/>
        <v>2.0625135199999995</v>
      </c>
      <c r="M171">
        <f t="shared" si="10"/>
        <v>-6.2513519999999545E-2</v>
      </c>
      <c r="N171" s="3">
        <f t="shared" si="11"/>
        <v>3.9079401827903431E-3</v>
      </c>
    </row>
    <row r="172" spans="1:14" x14ac:dyDescent="0.35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 s="7">
        <v>1</v>
      </c>
      <c r="H172" s="7">
        <v>1</v>
      </c>
      <c r="I172" s="7">
        <v>1</v>
      </c>
      <c r="J172" s="3">
        <f t="shared" si="8"/>
        <v>2</v>
      </c>
      <c r="K172">
        <v>10</v>
      </c>
      <c r="L172">
        <f t="shared" si="9"/>
        <v>5.7731432400000005</v>
      </c>
      <c r="M172">
        <f t="shared" si="10"/>
        <v>4.2268567599999995</v>
      </c>
      <c r="N172" s="3">
        <f t="shared" si="11"/>
        <v>17.866318069557693</v>
      </c>
    </row>
    <row r="173" spans="1:14" x14ac:dyDescent="0.35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 s="9">
        <v>1</v>
      </c>
      <c r="H173" s="9">
        <v>1</v>
      </c>
      <c r="I173" s="9">
        <v>1</v>
      </c>
      <c r="J173" s="3">
        <f t="shared" si="8"/>
        <v>2</v>
      </c>
      <c r="K173">
        <v>3.16</v>
      </c>
      <c r="L173">
        <f t="shared" si="9"/>
        <v>2.5132927199999999</v>
      </c>
      <c r="M173">
        <f t="shared" si="10"/>
        <v>0.64670728000000022</v>
      </c>
      <c r="N173" s="3">
        <f t="shared" si="11"/>
        <v>0.41823030600499866</v>
      </c>
    </row>
    <row r="174" spans="1:14" x14ac:dyDescent="0.35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 s="7">
        <v>1</v>
      </c>
      <c r="H174" s="7">
        <v>1</v>
      </c>
      <c r="I174" s="7">
        <v>1</v>
      </c>
      <c r="J174" s="3">
        <f t="shared" si="8"/>
        <v>1</v>
      </c>
      <c r="K174">
        <v>5.15</v>
      </c>
      <c r="L174">
        <f t="shared" si="9"/>
        <v>1.6464637</v>
      </c>
      <c r="M174">
        <f t="shared" si="10"/>
        <v>3.5035363000000004</v>
      </c>
      <c r="N174" s="3">
        <f t="shared" si="11"/>
        <v>12.274766605417692</v>
      </c>
    </row>
    <row r="175" spans="1:14" x14ac:dyDescent="0.35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 s="9">
        <v>1</v>
      </c>
      <c r="H175" s="9">
        <v>1</v>
      </c>
      <c r="I175" s="9">
        <v>1</v>
      </c>
      <c r="J175" s="3">
        <f t="shared" si="8"/>
        <v>1</v>
      </c>
      <c r="K175">
        <v>3.18</v>
      </c>
      <c r="L175">
        <f t="shared" si="9"/>
        <v>3.9736184399999996</v>
      </c>
      <c r="M175">
        <f t="shared" si="10"/>
        <v>-0.79361843999999948</v>
      </c>
      <c r="N175" s="3">
        <f t="shared" si="11"/>
        <v>0.62983022830803281</v>
      </c>
    </row>
    <row r="176" spans="1:14" x14ac:dyDescent="0.35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 s="7">
        <v>1</v>
      </c>
      <c r="H176" s="7">
        <v>1</v>
      </c>
      <c r="I176" s="7">
        <v>1</v>
      </c>
      <c r="J176" s="3">
        <f t="shared" si="8"/>
        <v>1</v>
      </c>
      <c r="K176">
        <v>4</v>
      </c>
      <c r="L176">
        <f t="shared" si="9"/>
        <v>2.5613442800000001</v>
      </c>
      <c r="M176">
        <f t="shared" si="10"/>
        <v>1.4386557199999999</v>
      </c>
      <c r="N176" s="3">
        <f t="shared" si="11"/>
        <v>2.0697302806887179</v>
      </c>
    </row>
    <row r="177" spans="1:14" x14ac:dyDescent="0.35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 s="9">
        <v>1</v>
      </c>
      <c r="H177" s="9">
        <v>1</v>
      </c>
      <c r="I177" s="9">
        <v>1</v>
      </c>
      <c r="J177" s="3">
        <f t="shared" si="8"/>
        <v>1</v>
      </c>
      <c r="K177">
        <v>3.11</v>
      </c>
      <c r="L177">
        <f t="shared" si="9"/>
        <v>4.0725971799999998</v>
      </c>
      <c r="M177">
        <f t="shared" si="10"/>
        <v>-0.96259717999999994</v>
      </c>
      <c r="N177" s="3">
        <f t="shared" si="11"/>
        <v>0.92659333094395224</v>
      </c>
    </row>
    <row r="178" spans="1:14" x14ac:dyDescent="0.35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 s="7">
        <v>1</v>
      </c>
      <c r="H178" s="7">
        <v>1</v>
      </c>
      <c r="I178" s="7">
        <v>1</v>
      </c>
      <c r="J178" s="3">
        <f t="shared" si="8"/>
        <v>1</v>
      </c>
      <c r="K178">
        <v>2</v>
      </c>
      <c r="L178">
        <f t="shared" si="9"/>
        <v>2.7102745600000002</v>
      </c>
      <c r="M178">
        <f t="shared" si="10"/>
        <v>-0.71027456000000022</v>
      </c>
      <c r="N178" s="3">
        <f t="shared" si="11"/>
        <v>0.5044899505831939</v>
      </c>
    </row>
    <row r="179" spans="1:14" x14ac:dyDescent="0.35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 s="9">
        <v>1</v>
      </c>
      <c r="H179" s="9">
        <v>1</v>
      </c>
      <c r="I179" s="9">
        <v>1</v>
      </c>
      <c r="J179" s="3">
        <f t="shared" si="8"/>
        <v>1</v>
      </c>
      <c r="K179">
        <v>2</v>
      </c>
      <c r="L179">
        <f t="shared" si="9"/>
        <v>2.3944949200000005</v>
      </c>
      <c r="M179">
        <f t="shared" si="10"/>
        <v>-0.39449492000000053</v>
      </c>
      <c r="N179" s="3">
        <f t="shared" si="11"/>
        <v>0.15562624190580682</v>
      </c>
    </row>
    <row r="180" spans="1:14" x14ac:dyDescent="0.35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 s="7">
        <v>0</v>
      </c>
      <c r="H180" s="7">
        <v>1</v>
      </c>
      <c r="I180" s="7">
        <v>1</v>
      </c>
      <c r="J180" s="3">
        <f t="shared" si="8"/>
        <v>1</v>
      </c>
      <c r="K180">
        <v>4</v>
      </c>
      <c r="L180">
        <f t="shared" si="9"/>
        <v>1.8927433999999996</v>
      </c>
      <c r="M180">
        <f t="shared" si="10"/>
        <v>2.1072566000000004</v>
      </c>
      <c r="N180" s="3">
        <f t="shared" si="11"/>
        <v>4.4405303782435617</v>
      </c>
    </row>
    <row r="181" spans="1:14" x14ac:dyDescent="0.35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 s="9">
        <v>1</v>
      </c>
      <c r="H181" s="9">
        <v>1</v>
      </c>
      <c r="I181" s="9">
        <v>1</v>
      </c>
      <c r="J181" s="3">
        <f t="shared" si="8"/>
        <v>1</v>
      </c>
      <c r="K181">
        <v>3.55</v>
      </c>
      <c r="L181">
        <f t="shared" si="9"/>
        <v>4.2218364199999998</v>
      </c>
      <c r="M181">
        <f t="shared" si="10"/>
        <v>-0.67183641999999999</v>
      </c>
      <c r="N181" s="3">
        <f t="shared" si="11"/>
        <v>0.45136417523841638</v>
      </c>
    </row>
    <row r="182" spans="1:14" x14ac:dyDescent="0.35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 s="7">
        <v>1</v>
      </c>
      <c r="H182" s="7">
        <v>1</v>
      </c>
      <c r="I182" s="7">
        <v>1</v>
      </c>
      <c r="J182" s="3">
        <f t="shared" si="8"/>
        <v>1</v>
      </c>
      <c r="K182">
        <v>3.68</v>
      </c>
      <c r="L182">
        <f t="shared" si="9"/>
        <v>4.5988026399999997</v>
      </c>
      <c r="M182">
        <f t="shared" si="10"/>
        <v>-0.91880263999999956</v>
      </c>
      <c r="N182" s="3">
        <f t="shared" si="11"/>
        <v>0.84419829127096879</v>
      </c>
    </row>
    <row r="183" spans="1:14" x14ac:dyDescent="0.35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 s="9">
        <v>1</v>
      </c>
      <c r="H183" s="9">
        <v>1</v>
      </c>
      <c r="I183" s="9">
        <v>1</v>
      </c>
      <c r="J183" s="3">
        <f t="shared" si="8"/>
        <v>1</v>
      </c>
      <c r="K183">
        <v>5.65</v>
      </c>
      <c r="L183">
        <f t="shared" si="9"/>
        <v>3.1230750200000004</v>
      </c>
      <c r="M183">
        <f t="shared" si="10"/>
        <v>2.52692498</v>
      </c>
      <c r="N183" s="3">
        <f t="shared" si="11"/>
        <v>6.3853498545480001</v>
      </c>
    </row>
    <row r="184" spans="1:14" x14ac:dyDescent="0.35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 s="7">
        <v>1</v>
      </c>
      <c r="H184" s="7">
        <v>1</v>
      </c>
      <c r="I184" s="7">
        <v>1</v>
      </c>
      <c r="J184" s="3">
        <f t="shared" si="8"/>
        <v>1</v>
      </c>
      <c r="K184">
        <v>3.5</v>
      </c>
      <c r="L184">
        <f t="shared" si="9"/>
        <v>5.4049743999999995</v>
      </c>
      <c r="M184">
        <f t="shared" si="10"/>
        <v>-1.9049743999999995</v>
      </c>
      <c r="N184" s="3">
        <f t="shared" si="11"/>
        <v>3.6289274646553582</v>
      </c>
    </row>
    <row r="185" spans="1:14" x14ac:dyDescent="0.35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 s="9">
        <v>1</v>
      </c>
      <c r="H185" s="9">
        <v>1</v>
      </c>
      <c r="I185" s="9">
        <v>1</v>
      </c>
      <c r="J185" s="3">
        <f t="shared" si="8"/>
        <v>1</v>
      </c>
      <c r="K185">
        <v>6.5</v>
      </c>
      <c r="L185">
        <f t="shared" si="9"/>
        <v>3.4654286800000005</v>
      </c>
      <c r="M185">
        <f t="shared" si="10"/>
        <v>3.0345713199999995</v>
      </c>
      <c r="N185" s="3">
        <f t="shared" si="11"/>
        <v>9.208623096166539</v>
      </c>
    </row>
    <row r="186" spans="1:14" x14ac:dyDescent="0.35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 s="7">
        <v>1</v>
      </c>
      <c r="H186" s="7">
        <v>1</v>
      </c>
      <c r="I186" s="7">
        <v>1</v>
      </c>
      <c r="J186" s="3">
        <f t="shared" si="8"/>
        <v>1</v>
      </c>
      <c r="K186">
        <v>3</v>
      </c>
      <c r="L186">
        <f t="shared" si="9"/>
        <v>4.7837591999999995</v>
      </c>
      <c r="M186">
        <f t="shared" si="10"/>
        <v>-1.7837591999999995</v>
      </c>
      <c r="N186" s="3">
        <f t="shared" si="11"/>
        <v>3.1817968835846382</v>
      </c>
    </row>
    <row r="187" spans="1:14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 s="9">
        <v>1</v>
      </c>
      <c r="H187" s="9">
        <v>0</v>
      </c>
      <c r="I187" s="9">
        <v>1</v>
      </c>
      <c r="J187" s="3">
        <f t="shared" si="8"/>
        <v>1</v>
      </c>
      <c r="K187">
        <v>5</v>
      </c>
      <c r="L187">
        <f t="shared" si="9"/>
        <v>3.5625117600000005</v>
      </c>
      <c r="M187">
        <f t="shared" si="10"/>
        <v>1.4374882399999995</v>
      </c>
      <c r="N187" s="3">
        <f t="shared" si="11"/>
        <v>2.0663724401382964</v>
      </c>
    </row>
    <row r="188" spans="1:14" x14ac:dyDescent="0.35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 s="7">
        <v>0</v>
      </c>
      <c r="H188" s="7">
        <v>1</v>
      </c>
      <c r="I188" s="7">
        <v>1</v>
      </c>
      <c r="J188" s="3">
        <f t="shared" si="8"/>
        <v>1</v>
      </c>
      <c r="K188">
        <v>3.5</v>
      </c>
      <c r="L188">
        <f t="shared" si="9"/>
        <v>3.1408066000000003</v>
      </c>
      <c r="M188">
        <f t="shared" si="10"/>
        <v>0.35919339999999966</v>
      </c>
      <c r="N188" s="3">
        <f t="shared" si="11"/>
        <v>0.12901989860355975</v>
      </c>
    </row>
    <row r="189" spans="1:14" x14ac:dyDescent="0.35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 s="9">
        <v>1</v>
      </c>
      <c r="H189" s="9">
        <v>1</v>
      </c>
      <c r="I189" s="9">
        <v>1</v>
      </c>
      <c r="J189" s="3">
        <f t="shared" si="8"/>
        <v>1</v>
      </c>
      <c r="K189">
        <v>2</v>
      </c>
      <c r="L189">
        <f t="shared" si="9"/>
        <v>4.4418378400000007</v>
      </c>
      <c r="M189">
        <f t="shared" si="10"/>
        <v>-2.4418378400000007</v>
      </c>
      <c r="N189" s="3">
        <f t="shared" si="11"/>
        <v>5.9625720368558692</v>
      </c>
    </row>
    <row r="190" spans="1:14" x14ac:dyDescent="0.35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 s="7">
        <v>0</v>
      </c>
      <c r="H190" s="7">
        <v>1</v>
      </c>
      <c r="I190" s="7">
        <v>1</v>
      </c>
      <c r="J190" s="3">
        <f t="shared" si="8"/>
        <v>1</v>
      </c>
      <c r="K190">
        <v>3.5</v>
      </c>
      <c r="L190">
        <f t="shared" si="9"/>
        <v>2.8861455999999999</v>
      </c>
      <c r="M190">
        <f t="shared" si="10"/>
        <v>0.61385440000000013</v>
      </c>
      <c r="N190" s="3">
        <f t="shared" si="11"/>
        <v>0.37681722439936016</v>
      </c>
    </row>
    <row r="191" spans="1:14" x14ac:dyDescent="0.35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 s="9">
        <v>1</v>
      </c>
      <c r="H191" s="9">
        <v>1</v>
      </c>
      <c r="I191" s="9">
        <v>1</v>
      </c>
      <c r="J191" s="3">
        <f t="shared" si="8"/>
        <v>1</v>
      </c>
      <c r="K191">
        <v>4</v>
      </c>
      <c r="L191">
        <f t="shared" si="9"/>
        <v>3.3320744000000007</v>
      </c>
      <c r="M191">
        <f t="shared" si="10"/>
        <v>0.66792559999999934</v>
      </c>
      <c r="N191" s="3">
        <f t="shared" si="11"/>
        <v>0.44612460713535912</v>
      </c>
    </row>
    <row r="192" spans="1:14" x14ac:dyDescent="0.35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 s="7">
        <v>1</v>
      </c>
      <c r="H192" s="7">
        <v>1</v>
      </c>
      <c r="I192" s="7">
        <v>1</v>
      </c>
      <c r="J192" s="3">
        <f t="shared" si="8"/>
        <v>1</v>
      </c>
      <c r="K192">
        <v>1.5</v>
      </c>
      <c r="L192">
        <f t="shared" si="9"/>
        <v>2.5190067599999999</v>
      </c>
      <c r="M192">
        <f t="shared" si="10"/>
        <v>-1.0190067599999999</v>
      </c>
      <c r="N192" s="3">
        <f t="shared" si="11"/>
        <v>1.0383747769256975</v>
      </c>
    </row>
    <row r="193" spans="1:14" x14ac:dyDescent="0.35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 s="9">
        <v>0</v>
      </c>
      <c r="H193" s="9">
        <v>1</v>
      </c>
      <c r="I193" s="9">
        <v>0</v>
      </c>
      <c r="J193" s="3">
        <f t="shared" si="8"/>
        <v>3</v>
      </c>
      <c r="K193">
        <v>4.1900000000000004</v>
      </c>
      <c r="L193">
        <f t="shared" si="9"/>
        <v>2.8577240599999998</v>
      </c>
      <c r="M193">
        <f t="shared" si="10"/>
        <v>1.3322759400000006</v>
      </c>
      <c r="N193" s="3">
        <f t="shared" si="11"/>
        <v>1.7749591803028852</v>
      </c>
    </row>
    <row r="194" spans="1:14" x14ac:dyDescent="0.35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 s="7">
        <v>1</v>
      </c>
      <c r="H194" s="7">
        <v>1</v>
      </c>
      <c r="I194" s="7">
        <v>0</v>
      </c>
      <c r="J194" s="3">
        <f t="shared" ref="J194:J244" si="12">IF(C194="Sun",1,IF(C194="sat",2,IF(C194="thur",3,4)))</f>
        <v>3</v>
      </c>
      <c r="K194">
        <v>2.56</v>
      </c>
      <c r="L194">
        <f t="shared" ref="L194:L244" si="13">0.775857+0.092604*F194+0.189177*E194-0.100181*H194+0.024859*I194+0.024544*J194-0.024922*K194</f>
        <v>3.6975194400000002</v>
      </c>
      <c r="M194">
        <f t="shared" ref="M194:M244" si="14">K194-L194</f>
        <v>-1.1375194400000002</v>
      </c>
      <c r="N194" s="3">
        <f t="shared" ref="N194:N244" si="15">M194^2</f>
        <v>1.2939504763779139</v>
      </c>
    </row>
    <row r="195" spans="1:14" x14ac:dyDescent="0.35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 s="9">
        <v>1</v>
      </c>
      <c r="H195" s="9">
        <v>1</v>
      </c>
      <c r="I195" s="9">
        <v>0</v>
      </c>
      <c r="J195" s="3">
        <f t="shared" si="12"/>
        <v>3</v>
      </c>
      <c r="K195">
        <v>2.02</v>
      </c>
      <c r="L195">
        <f t="shared" si="13"/>
        <v>2.5108294799999995</v>
      </c>
      <c r="M195">
        <f t="shared" si="14"/>
        <v>-0.49082947999999949</v>
      </c>
      <c r="N195" s="3">
        <f t="shared" si="15"/>
        <v>0.2409135784370699</v>
      </c>
    </row>
    <row r="196" spans="1:14" x14ac:dyDescent="0.35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 s="7">
        <v>1</v>
      </c>
      <c r="H196" s="7">
        <v>1</v>
      </c>
      <c r="I196" s="7">
        <v>0</v>
      </c>
      <c r="J196" s="3">
        <f t="shared" si="12"/>
        <v>3</v>
      </c>
      <c r="K196">
        <v>4</v>
      </c>
      <c r="L196">
        <f t="shared" si="13"/>
        <v>2.5633483199999998</v>
      </c>
      <c r="M196">
        <f t="shared" si="14"/>
        <v>1.4366516800000002</v>
      </c>
      <c r="N196" s="3">
        <f t="shared" si="15"/>
        <v>2.0639680496468231</v>
      </c>
    </row>
    <row r="197" spans="1:14" x14ac:dyDescent="0.35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 s="9">
        <v>1</v>
      </c>
      <c r="H197" s="9">
        <v>0</v>
      </c>
      <c r="I197" s="9">
        <v>0</v>
      </c>
      <c r="J197" s="3">
        <f t="shared" si="12"/>
        <v>3</v>
      </c>
      <c r="K197">
        <v>1.44</v>
      </c>
      <c r="L197">
        <f t="shared" si="13"/>
        <v>1.8920415599999998</v>
      </c>
      <c r="M197">
        <f t="shared" si="14"/>
        <v>-0.45204155999999984</v>
      </c>
      <c r="N197" s="3">
        <f t="shared" si="15"/>
        <v>0.20434157196723346</v>
      </c>
    </row>
    <row r="198" spans="1:14" x14ac:dyDescent="0.35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 s="7">
        <v>1</v>
      </c>
      <c r="H198" s="7">
        <v>1</v>
      </c>
      <c r="I198" s="7">
        <v>0</v>
      </c>
      <c r="J198" s="3">
        <f t="shared" si="12"/>
        <v>3</v>
      </c>
      <c r="K198">
        <v>2</v>
      </c>
      <c r="L198">
        <f t="shared" si="13"/>
        <v>2.0353433599999997</v>
      </c>
      <c r="M198">
        <f t="shared" si="14"/>
        <v>-3.5343359999999713E-2</v>
      </c>
      <c r="N198" s="3">
        <f t="shared" si="15"/>
        <v>1.2491530960895797E-3</v>
      </c>
    </row>
    <row r="199" spans="1:14" x14ac:dyDescent="0.35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 s="9">
        <v>0</v>
      </c>
      <c r="H199" s="9">
        <v>1</v>
      </c>
      <c r="I199" s="9">
        <v>0</v>
      </c>
      <c r="J199" s="3">
        <f t="shared" si="12"/>
        <v>3</v>
      </c>
      <c r="K199">
        <v>5</v>
      </c>
      <c r="L199">
        <f t="shared" si="13"/>
        <v>5.37356444</v>
      </c>
      <c r="M199">
        <f t="shared" si="14"/>
        <v>-0.37356444</v>
      </c>
      <c r="N199" s="3">
        <f t="shared" si="15"/>
        <v>0.13955039083251361</v>
      </c>
    </row>
    <row r="200" spans="1:14" x14ac:dyDescent="0.35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 s="7">
        <v>0</v>
      </c>
      <c r="H200" s="7">
        <v>1</v>
      </c>
      <c r="I200" s="7">
        <v>0</v>
      </c>
      <c r="J200" s="3">
        <f t="shared" si="12"/>
        <v>3</v>
      </c>
      <c r="K200">
        <v>2</v>
      </c>
      <c r="L200">
        <f t="shared" si="13"/>
        <v>2.2816700000000001</v>
      </c>
      <c r="M200">
        <f t="shared" si="14"/>
        <v>-0.28167000000000009</v>
      </c>
      <c r="N200" s="3">
        <f t="shared" si="15"/>
        <v>7.9337988900000045E-2</v>
      </c>
    </row>
    <row r="201" spans="1:14" x14ac:dyDescent="0.35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 s="9">
        <v>1</v>
      </c>
      <c r="H201" s="9">
        <v>1</v>
      </c>
      <c r="I201" s="9">
        <v>0</v>
      </c>
      <c r="J201" s="3">
        <f t="shared" si="12"/>
        <v>3</v>
      </c>
      <c r="K201">
        <v>2</v>
      </c>
      <c r="L201">
        <f t="shared" si="13"/>
        <v>2.3288980399999994</v>
      </c>
      <c r="M201">
        <f t="shared" si="14"/>
        <v>-0.32889803999999945</v>
      </c>
      <c r="N201" s="3">
        <f t="shared" si="15"/>
        <v>0.10817392071584124</v>
      </c>
    </row>
    <row r="202" spans="1:14" x14ac:dyDescent="0.35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 s="7">
        <v>1</v>
      </c>
      <c r="H202" s="7">
        <v>1</v>
      </c>
      <c r="I202" s="7">
        <v>0</v>
      </c>
      <c r="J202" s="3">
        <f t="shared" si="12"/>
        <v>3</v>
      </c>
      <c r="K202">
        <v>4</v>
      </c>
      <c r="L202">
        <f t="shared" si="13"/>
        <v>2.9497718399999999</v>
      </c>
      <c r="M202">
        <f t="shared" si="14"/>
        <v>1.0502281600000001</v>
      </c>
      <c r="N202" s="3">
        <f t="shared" si="15"/>
        <v>1.1029791880569857</v>
      </c>
    </row>
    <row r="203" spans="1:14" x14ac:dyDescent="0.35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 s="9">
        <v>0</v>
      </c>
      <c r="H203" s="9">
        <v>1</v>
      </c>
      <c r="I203" s="9">
        <v>0</v>
      </c>
      <c r="J203" s="3">
        <f t="shared" si="12"/>
        <v>3</v>
      </c>
      <c r="K203">
        <v>2.0099999999999998</v>
      </c>
      <c r="L203">
        <f t="shared" si="13"/>
        <v>2.25734374</v>
      </c>
      <c r="M203">
        <f t="shared" si="14"/>
        <v>-0.24734374000000026</v>
      </c>
      <c r="N203" s="3">
        <f t="shared" si="15"/>
        <v>6.1178925717187728E-2</v>
      </c>
    </row>
    <row r="204" spans="1:14" x14ac:dyDescent="0.35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16.399999999999999</v>
      </c>
      <c r="G204" s="9">
        <v>1</v>
      </c>
      <c r="H204" s="9">
        <v>1</v>
      </c>
      <c r="I204" s="9">
        <v>0</v>
      </c>
      <c r="J204" s="3">
        <f t="shared" si="12"/>
        <v>3</v>
      </c>
      <c r="K204">
        <v>2.5</v>
      </c>
      <c r="L204">
        <f t="shared" si="13"/>
        <v>2.5840625999999998</v>
      </c>
      <c r="M204">
        <f t="shared" si="14"/>
        <v>-8.4062599999999765E-2</v>
      </c>
      <c r="N204" s="3">
        <f t="shared" si="15"/>
        <v>7.0665207187599601E-3</v>
      </c>
    </row>
    <row r="205" spans="1:14" x14ac:dyDescent="0.35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20.53</v>
      </c>
      <c r="G205" s="7">
        <v>0</v>
      </c>
      <c r="H205" s="7">
        <v>1</v>
      </c>
      <c r="I205" s="7">
        <v>0</v>
      </c>
      <c r="J205" s="3">
        <f t="shared" si="12"/>
        <v>3</v>
      </c>
      <c r="K205">
        <v>4</v>
      </c>
      <c r="L205">
        <f t="shared" si="13"/>
        <v>3.3074881200000004</v>
      </c>
      <c r="M205">
        <f t="shared" si="14"/>
        <v>0.69251187999999964</v>
      </c>
      <c r="N205" s="3">
        <f t="shared" si="15"/>
        <v>0.47957270394113388</v>
      </c>
    </row>
    <row r="206" spans="1:14" x14ac:dyDescent="0.35">
      <c r="A206" t="s">
        <v>7</v>
      </c>
      <c r="B206" t="s">
        <v>22</v>
      </c>
      <c r="C206" t="s">
        <v>23</v>
      </c>
      <c r="D206" t="s">
        <v>24</v>
      </c>
      <c r="E206">
        <v>3</v>
      </c>
      <c r="F206">
        <v>16.47</v>
      </c>
      <c r="G206" s="9">
        <v>1</v>
      </c>
      <c r="H206" s="9">
        <v>1</v>
      </c>
      <c r="I206" s="9">
        <v>1</v>
      </c>
      <c r="J206" s="3">
        <f t="shared" si="12"/>
        <v>3</v>
      </c>
      <c r="K206">
        <v>3.23</v>
      </c>
      <c r="L206">
        <f t="shared" si="13"/>
        <v>2.7863878199999998</v>
      </c>
      <c r="M206">
        <f t="shared" si="14"/>
        <v>0.44361218000000013</v>
      </c>
      <c r="N206" s="3">
        <f t="shared" si="15"/>
        <v>0.19679176624435252</v>
      </c>
    </row>
    <row r="207" spans="1:14" x14ac:dyDescent="0.35">
      <c r="A207" t="s">
        <v>11</v>
      </c>
      <c r="B207" t="s">
        <v>22</v>
      </c>
      <c r="C207" t="s">
        <v>21</v>
      </c>
      <c r="D207" t="s">
        <v>10</v>
      </c>
      <c r="E207">
        <v>3</v>
      </c>
      <c r="F207">
        <v>26.59</v>
      </c>
      <c r="G207" s="7">
        <v>1</v>
      </c>
      <c r="H207" s="7">
        <v>1</v>
      </c>
      <c r="I207" s="7">
        <v>1</v>
      </c>
      <c r="J207" s="3">
        <f t="shared" si="12"/>
        <v>2</v>
      </c>
      <c r="K207">
        <v>3.41</v>
      </c>
      <c r="L207">
        <f t="shared" si="13"/>
        <v>3.6945103399999999</v>
      </c>
      <c r="M207">
        <f t="shared" si="14"/>
        <v>-0.28451033999999975</v>
      </c>
      <c r="N207" s="3">
        <f t="shared" si="15"/>
        <v>8.0946133566915462E-2</v>
      </c>
    </row>
    <row r="208" spans="1:14" x14ac:dyDescent="0.35">
      <c r="A208" t="s">
        <v>11</v>
      </c>
      <c r="B208" t="s">
        <v>22</v>
      </c>
      <c r="C208" t="s">
        <v>21</v>
      </c>
      <c r="D208" t="s">
        <v>10</v>
      </c>
      <c r="E208">
        <v>4</v>
      </c>
      <c r="F208">
        <v>38.729999999999997</v>
      </c>
      <c r="G208" s="9">
        <v>1</v>
      </c>
      <c r="H208" s="9">
        <v>1</v>
      </c>
      <c r="I208" s="9">
        <v>1</v>
      </c>
      <c r="J208" s="3">
        <f t="shared" si="12"/>
        <v>2</v>
      </c>
      <c r="K208">
        <v>3</v>
      </c>
      <c r="L208">
        <f t="shared" si="13"/>
        <v>5.0181179199999999</v>
      </c>
      <c r="M208">
        <f t="shared" si="14"/>
        <v>-2.0181179199999999</v>
      </c>
      <c r="N208" s="3">
        <f t="shared" si="15"/>
        <v>4.0727999390251259</v>
      </c>
    </row>
    <row r="209" spans="1:14" x14ac:dyDescent="0.35">
      <c r="A209" t="s">
        <v>11</v>
      </c>
      <c r="B209" t="s">
        <v>22</v>
      </c>
      <c r="C209" t="s">
        <v>21</v>
      </c>
      <c r="D209" t="s">
        <v>10</v>
      </c>
      <c r="E209">
        <v>2</v>
      </c>
      <c r="F209">
        <v>24.27</v>
      </c>
      <c r="G209" s="7">
        <v>0</v>
      </c>
      <c r="H209" s="7">
        <v>1</v>
      </c>
      <c r="I209" s="7">
        <v>1</v>
      </c>
      <c r="J209" s="3">
        <f t="shared" si="12"/>
        <v>2</v>
      </c>
      <c r="K209">
        <v>2.0299999999999998</v>
      </c>
      <c r="L209">
        <f t="shared" si="13"/>
        <v>3.3248844200000001</v>
      </c>
      <c r="M209">
        <f t="shared" si="14"/>
        <v>-1.2948844200000003</v>
      </c>
      <c r="N209" s="3">
        <f t="shared" si="15"/>
        <v>1.6767256611587371</v>
      </c>
    </row>
    <row r="210" spans="1:14" x14ac:dyDescent="0.35">
      <c r="A210" t="s">
        <v>7</v>
      </c>
      <c r="B210" t="s">
        <v>22</v>
      </c>
      <c r="C210" t="s">
        <v>21</v>
      </c>
      <c r="D210" t="s">
        <v>10</v>
      </c>
      <c r="E210">
        <v>2</v>
      </c>
      <c r="F210">
        <v>12.76</v>
      </c>
      <c r="G210" s="9">
        <v>1</v>
      </c>
      <c r="H210" s="9">
        <v>1</v>
      </c>
      <c r="I210" s="9">
        <v>1</v>
      </c>
      <c r="J210" s="3">
        <f t="shared" si="12"/>
        <v>2</v>
      </c>
      <c r="K210">
        <v>2.23</v>
      </c>
      <c r="L210">
        <f t="shared" si="13"/>
        <v>2.25402798</v>
      </c>
      <c r="M210">
        <f t="shared" si="14"/>
        <v>-2.402798000000006E-2</v>
      </c>
      <c r="N210" s="3">
        <f t="shared" si="15"/>
        <v>5.7734382288040283E-4</v>
      </c>
    </row>
    <row r="211" spans="1:14" x14ac:dyDescent="0.35">
      <c r="A211" t="s">
        <v>11</v>
      </c>
      <c r="B211" t="s">
        <v>22</v>
      </c>
      <c r="C211" t="s">
        <v>21</v>
      </c>
      <c r="D211" t="s">
        <v>10</v>
      </c>
      <c r="E211">
        <v>3</v>
      </c>
      <c r="F211">
        <v>30.06</v>
      </c>
      <c r="G211" s="7">
        <v>1</v>
      </c>
      <c r="H211" s="7">
        <v>1</v>
      </c>
      <c r="I211" s="7">
        <v>1</v>
      </c>
      <c r="J211" s="3">
        <f t="shared" si="12"/>
        <v>2</v>
      </c>
      <c r="K211">
        <v>2</v>
      </c>
      <c r="L211">
        <f t="shared" si="13"/>
        <v>4.0509862400000003</v>
      </c>
      <c r="M211">
        <f t="shared" si="14"/>
        <v>-2.0509862400000003</v>
      </c>
      <c r="N211" s="3">
        <f t="shared" si="15"/>
        <v>4.2065445566693391</v>
      </c>
    </row>
    <row r="212" spans="1:14" x14ac:dyDescent="0.35">
      <c r="A212" t="s">
        <v>11</v>
      </c>
      <c r="B212" t="s">
        <v>22</v>
      </c>
      <c r="C212" t="s">
        <v>21</v>
      </c>
      <c r="D212" t="s">
        <v>10</v>
      </c>
      <c r="E212">
        <v>4</v>
      </c>
      <c r="F212">
        <v>25.89</v>
      </c>
      <c r="G212" s="9">
        <v>1</v>
      </c>
      <c r="H212" s="9">
        <v>0</v>
      </c>
      <c r="I212" s="9">
        <v>1</v>
      </c>
      <c r="J212" s="3">
        <f t="shared" si="12"/>
        <v>2</v>
      </c>
      <c r="K212">
        <v>5.16</v>
      </c>
      <c r="L212">
        <f t="shared" si="13"/>
        <v>3.8754320400000002</v>
      </c>
      <c r="M212">
        <f t="shared" si="14"/>
        <v>1.28456796</v>
      </c>
      <c r="N212" s="3">
        <f t="shared" si="15"/>
        <v>1.6501148438585616</v>
      </c>
    </row>
    <row r="213" spans="1:14" x14ac:dyDescent="0.35">
      <c r="A213" t="s">
        <v>11</v>
      </c>
      <c r="B213" t="s">
        <v>8</v>
      </c>
      <c r="C213" t="s">
        <v>21</v>
      </c>
      <c r="D213" t="s">
        <v>10</v>
      </c>
      <c r="E213">
        <v>4</v>
      </c>
      <c r="F213">
        <v>48.33</v>
      </c>
      <c r="G213" s="7">
        <v>0</v>
      </c>
      <c r="H213" s="7">
        <v>1</v>
      </c>
      <c r="I213" s="7">
        <v>1</v>
      </c>
      <c r="J213" s="3">
        <f t="shared" si="12"/>
        <v>2</v>
      </c>
      <c r="K213">
        <v>9</v>
      </c>
      <c r="L213">
        <f t="shared" si="13"/>
        <v>5.7575843200000003</v>
      </c>
      <c r="M213">
        <f t="shared" si="14"/>
        <v>3.2424156799999997</v>
      </c>
      <c r="N213" s="3">
        <f t="shared" si="15"/>
        <v>10.51325944190986</v>
      </c>
    </row>
    <row r="214" spans="1:14" x14ac:dyDescent="0.35">
      <c r="A214" t="s">
        <v>7</v>
      </c>
      <c r="B214" t="s">
        <v>22</v>
      </c>
      <c r="C214" t="s">
        <v>21</v>
      </c>
      <c r="D214" t="s">
        <v>10</v>
      </c>
      <c r="E214">
        <v>2</v>
      </c>
      <c r="F214">
        <v>13.27</v>
      </c>
      <c r="G214" s="9">
        <v>0</v>
      </c>
      <c r="H214" s="9">
        <v>1</v>
      </c>
      <c r="I214" s="9">
        <v>1</v>
      </c>
      <c r="J214" s="3">
        <f t="shared" si="12"/>
        <v>2</v>
      </c>
      <c r="K214">
        <v>2.5</v>
      </c>
      <c r="L214">
        <f t="shared" si="13"/>
        <v>2.2945270799999999</v>
      </c>
      <c r="M214">
        <f t="shared" si="14"/>
        <v>0.20547292000000006</v>
      </c>
      <c r="N214" s="3">
        <f t="shared" si="15"/>
        <v>4.2219120853326422E-2</v>
      </c>
    </row>
    <row r="215" spans="1:14" x14ac:dyDescent="0.35">
      <c r="A215" t="s">
        <v>7</v>
      </c>
      <c r="B215" t="s">
        <v>22</v>
      </c>
      <c r="C215" t="s">
        <v>21</v>
      </c>
      <c r="D215" t="s">
        <v>10</v>
      </c>
      <c r="E215">
        <v>3</v>
      </c>
      <c r="F215">
        <v>28.17</v>
      </c>
      <c r="G215" s="7">
        <v>0</v>
      </c>
      <c r="H215" s="7">
        <v>1</v>
      </c>
      <c r="I215" s="7">
        <v>1</v>
      </c>
      <c r="J215" s="3">
        <f t="shared" si="12"/>
        <v>2</v>
      </c>
      <c r="K215">
        <v>6.5</v>
      </c>
      <c r="L215">
        <f t="shared" si="13"/>
        <v>3.76381568</v>
      </c>
      <c r="M215">
        <f t="shared" si="14"/>
        <v>2.73618432</v>
      </c>
      <c r="N215" s="3">
        <f t="shared" si="15"/>
        <v>7.4867046330138622</v>
      </c>
    </row>
    <row r="216" spans="1:14" x14ac:dyDescent="0.35">
      <c r="A216" t="s">
        <v>7</v>
      </c>
      <c r="B216" t="s">
        <v>22</v>
      </c>
      <c r="C216" t="s">
        <v>21</v>
      </c>
      <c r="D216" t="s">
        <v>10</v>
      </c>
      <c r="E216">
        <v>2</v>
      </c>
      <c r="F216">
        <v>12.9</v>
      </c>
      <c r="G216" s="9">
        <v>1</v>
      </c>
      <c r="H216" s="9">
        <v>1</v>
      </c>
      <c r="I216" s="9">
        <v>1</v>
      </c>
      <c r="J216" s="3">
        <f t="shared" si="12"/>
        <v>2</v>
      </c>
      <c r="K216">
        <v>1.1000000000000001</v>
      </c>
      <c r="L216">
        <f t="shared" si="13"/>
        <v>2.2951543999999999</v>
      </c>
      <c r="M216">
        <f t="shared" si="14"/>
        <v>-1.1951543999999998</v>
      </c>
      <c r="N216" s="3">
        <f t="shared" si="15"/>
        <v>1.4283940398393595</v>
      </c>
    </row>
    <row r="217" spans="1:14" x14ac:dyDescent="0.35">
      <c r="A217" t="s">
        <v>11</v>
      </c>
      <c r="B217" t="s">
        <v>22</v>
      </c>
      <c r="C217" t="s">
        <v>21</v>
      </c>
      <c r="D217" t="s">
        <v>10</v>
      </c>
      <c r="E217">
        <v>5</v>
      </c>
      <c r="F217">
        <v>28.15</v>
      </c>
      <c r="G217" s="7">
        <v>1</v>
      </c>
      <c r="H217" s="7">
        <v>1</v>
      </c>
      <c r="I217" s="7">
        <v>1</v>
      </c>
      <c r="J217" s="3">
        <f t="shared" si="12"/>
        <v>2</v>
      </c>
      <c r="K217">
        <v>3</v>
      </c>
      <c r="L217">
        <f t="shared" si="13"/>
        <v>4.2275446000000008</v>
      </c>
      <c r="M217">
        <f t="shared" si="14"/>
        <v>-1.2275446000000008</v>
      </c>
      <c r="N217" s="3">
        <f t="shared" si="15"/>
        <v>1.5068657449891618</v>
      </c>
    </row>
    <row r="218" spans="1:14" x14ac:dyDescent="0.35">
      <c r="A218" t="s">
        <v>11</v>
      </c>
      <c r="B218" t="s">
        <v>22</v>
      </c>
      <c r="C218" t="s">
        <v>21</v>
      </c>
      <c r="D218" t="s">
        <v>10</v>
      </c>
      <c r="E218">
        <v>2</v>
      </c>
      <c r="F218">
        <v>11.59</v>
      </c>
      <c r="G218" s="9">
        <v>1</v>
      </c>
      <c r="H218" s="9">
        <v>1</v>
      </c>
      <c r="I218" s="9">
        <v>1</v>
      </c>
      <c r="J218" s="3">
        <f t="shared" si="12"/>
        <v>2</v>
      </c>
      <c r="K218">
        <v>1.5</v>
      </c>
      <c r="L218">
        <f t="shared" si="13"/>
        <v>2.1638743599999999</v>
      </c>
      <c r="M218">
        <f t="shared" si="14"/>
        <v>-0.66387435999999989</v>
      </c>
      <c r="N218" s="3">
        <f t="shared" si="15"/>
        <v>0.44072916586540944</v>
      </c>
    </row>
    <row r="219" spans="1:14" x14ac:dyDescent="0.35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7.74</v>
      </c>
      <c r="G219" s="7">
        <v>0</v>
      </c>
      <c r="H219" s="7">
        <v>1</v>
      </c>
      <c r="I219" s="7">
        <v>1</v>
      </c>
      <c r="J219" s="3">
        <f t="shared" si="12"/>
        <v>2</v>
      </c>
      <c r="K219">
        <v>1.44</v>
      </c>
      <c r="L219">
        <f t="shared" si="13"/>
        <v>1.80884428</v>
      </c>
      <c r="M219">
        <f t="shared" si="14"/>
        <v>-0.36884428000000002</v>
      </c>
      <c r="N219" s="3">
        <f t="shared" si="15"/>
        <v>0.13604610288871841</v>
      </c>
    </row>
    <row r="220" spans="1:14" x14ac:dyDescent="0.35">
      <c r="A220" t="s">
        <v>7</v>
      </c>
      <c r="B220" t="s">
        <v>22</v>
      </c>
      <c r="C220" t="s">
        <v>21</v>
      </c>
      <c r="D220" t="s">
        <v>10</v>
      </c>
      <c r="E220">
        <v>4</v>
      </c>
      <c r="F220">
        <v>30.14</v>
      </c>
      <c r="G220" s="9">
        <v>1</v>
      </c>
      <c r="H220" s="9">
        <v>1</v>
      </c>
      <c r="I220" s="9">
        <v>0</v>
      </c>
      <c r="J220" s="3">
        <f t="shared" si="12"/>
        <v>2</v>
      </c>
      <c r="K220">
        <v>3.09</v>
      </c>
      <c r="L220">
        <f t="shared" si="13"/>
        <v>4.1955475800000004</v>
      </c>
      <c r="M220">
        <f t="shared" si="14"/>
        <v>-1.1055475800000005</v>
      </c>
      <c r="N220" s="3">
        <f t="shared" si="15"/>
        <v>1.2222354516438576</v>
      </c>
    </row>
    <row r="221" spans="1:14" x14ac:dyDescent="0.35">
      <c r="A221" t="s">
        <v>11</v>
      </c>
      <c r="B221" t="s">
        <v>22</v>
      </c>
      <c r="C221" t="s">
        <v>25</v>
      </c>
      <c r="D221" t="s">
        <v>24</v>
      </c>
      <c r="E221">
        <v>2</v>
      </c>
      <c r="F221">
        <v>12.16</v>
      </c>
      <c r="G221" s="7">
        <v>0</v>
      </c>
      <c r="H221" s="7">
        <v>1</v>
      </c>
      <c r="I221" s="7">
        <v>0</v>
      </c>
      <c r="J221" s="3">
        <f t="shared" si="12"/>
        <v>4</v>
      </c>
      <c r="K221">
        <v>2.2000000000000002</v>
      </c>
      <c r="L221">
        <f t="shared" si="13"/>
        <v>2.2234422400000002</v>
      </c>
      <c r="M221">
        <f t="shared" si="14"/>
        <v>-2.3442240000000059E-2</v>
      </c>
      <c r="N221" s="3">
        <f t="shared" si="15"/>
        <v>5.4953861621760279E-4</v>
      </c>
    </row>
    <row r="222" spans="1:14" x14ac:dyDescent="0.35">
      <c r="A222" t="s">
        <v>7</v>
      </c>
      <c r="B222" t="s">
        <v>22</v>
      </c>
      <c r="C222" t="s">
        <v>25</v>
      </c>
      <c r="D222" t="s">
        <v>24</v>
      </c>
      <c r="E222">
        <v>2</v>
      </c>
      <c r="F222">
        <v>13.42</v>
      </c>
      <c r="G222" s="9">
        <v>1</v>
      </c>
      <c r="H222" s="9">
        <v>1</v>
      </c>
      <c r="I222" s="9">
        <v>0</v>
      </c>
      <c r="J222" s="3">
        <f t="shared" si="12"/>
        <v>4</v>
      </c>
      <c r="K222">
        <v>3.48</v>
      </c>
      <c r="L222">
        <f t="shared" si="13"/>
        <v>2.3082231199999996</v>
      </c>
      <c r="M222">
        <f t="shared" si="14"/>
        <v>1.1717768800000004</v>
      </c>
      <c r="N222" s="3">
        <f t="shared" si="15"/>
        <v>1.3730610565025352</v>
      </c>
    </row>
    <row r="223" spans="1:14" x14ac:dyDescent="0.35">
      <c r="A223" t="s">
        <v>11</v>
      </c>
      <c r="B223" t="s">
        <v>22</v>
      </c>
      <c r="C223" t="s">
        <v>25</v>
      </c>
      <c r="D223" t="s">
        <v>24</v>
      </c>
      <c r="E223">
        <v>1</v>
      </c>
      <c r="F223">
        <v>8.58</v>
      </c>
      <c r="G223" s="7">
        <v>0</v>
      </c>
      <c r="H223" s="7">
        <v>0</v>
      </c>
      <c r="I223" s="7">
        <v>0</v>
      </c>
      <c r="J223" s="3">
        <f t="shared" si="12"/>
        <v>4</v>
      </c>
      <c r="K223">
        <v>1.92</v>
      </c>
      <c r="L223">
        <f t="shared" si="13"/>
        <v>1.8099020799999999</v>
      </c>
      <c r="M223">
        <f t="shared" si="14"/>
        <v>0.11009792000000007</v>
      </c>
      <c r="N223" s="3">
        <f t="shared" si="15"/>
        <v>1.2121551988326415E-2</v>
      </c>
    </row>
    <row r="224" spans="1:14" x14ac:dyDescent="0.35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15.98</v>
      </c>
      <c r="G224" s="9">
        <v>1</v>
      </c>
      <c r="H224" s="9">
        <v>1</v>
      </c>
      <c r="I224" s="9">
        <v>0</v>
      </c>
      <c r="J224" s="3">
        <f t="shared" si="12"/>
        <v>4</v>
      </c>
      <c r="K224">
        <v>3</v>
      </c>
      <c r="L224">
        <f t="shared" si="13"/>
        <v>2.7464289200000005</v>
      </c>
      <c r="M224">
        <f t="shared" si="14"/>
        <v>0.2535710799999995</v>
      </c>
      <c r="N224" s="3">
        <f t="shared" si="15"/>
        <v>6.4298292612366151E-2</v>
      </c>
    </row>
    <row r="225" spans="1:14" x14ac:dyDescent="0.35">
      <c r="A225" t="s">
        <v>11</v>
      </c>
      <c r="B225" t="s">
        <v>22</v>
      </c>
      <c r="C225" t="s">
        <v>25</v>
      </c>
      <c r="D225" t="s">
        <v>24</v>
      </c>
      <c r="E225">
        <v>2</v>
      </c>
      <c r="F225">
        <v>13.42</v>
      </c>
      <c r="G225" s="7">
        <v>0</v>
      </c>
      <c r="H225" s="7">
        <v>1</v>
      </c>
      <c r="I225" s="7">
        <v>0</v>
      </c>
      <c r="J225" s="3">
        <f t="shared" si="12"/>
        <v>4</v>
      </c>
      <c r="K225">
        <v>1.58</v>
      </c>
      <c r="L225">
        <f t="shared" si="13"/>
        <v>2.3555749199999996</v>
      </c>
      <c r="M225">
        <f t="shared" si="14"/>
        <v>-0.7755749199999995</v>
      </c>
      <c r="N225" s="3">
        <f t="shared" si="15"/>
        <v>0.60151645653300567</v>
      </c>
    </row>
    <row r="226" spans="1:14" x14ac:dyDescent="0.35">
      <c r="A226" t="s">
        <v>7</v>
      </c>
      <c r="B226" t="s">
        <v>22</v>
      </c>
      <c r="C226" t="s">
        <v>25</v>
      </c>
      <c r="D226" t="s">
        <v>24</v>
      </c>
      <c r="E226">
        <v>2</v>
      </c>
      <c r="F226">
        <v>16.27</v>
      </c>
      <c r="G226" s="9">
        <v>0</v>
      </c>
      <c r="H226" s="9">
        <v>1</v>
      </c>
      <c r="I226" s="9">
        <v>0</v>
      </c>
      <c r="J226" s="3">
        <f t="shared" si="12"/>
        <v>4</v>
      </c>
      <c r="K226">
        <v>2.5</v>
      </c>
      <c r="L226">
        <f t="shared" si="13"/>
        <v>2.5965680799999999</v>
      </c>
      <c r="M226">
        <f t="shared" si="14"/>
        <v>-9.6568079999999945E-2</v>
      </c>
      <c r="N226" s="3">
        <f t="shared" si="15"/>
        <v>9.3253940748863895E-3</v>
      </c>
    </row>
    <row r="227" spans="1:14" x14ac:dyDescent="0.35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10.09</v>
      </c>
      <c r="G227" s="7">
        <v>1</v>
      </c>
      <c r="H227" s="7">
        <v>0</v>
      </c>
      <c r="I227" s="7">
        <v>1</v>
      </c>
      <c r="J227" s="3">
        <f t="shared" si="12"/>
        <v>4</v>
      </c>
      <c r="K227">
        <v>2</v>
      </c>
      <c r="L227">
        <f t="shared" si="13"/>
        <v>2.1617763600000002</v>
      </c>
      <c r="M227">
        <f t="shared" si="14"/>
        <v>-0.16177636000000017</v>
      </c>
      <c r="N227" s="3">
        <f t="shared" si="15"/>
        <v>2.6171590654849655E-2</v>
      </c>
    </row>
    <row r="228" spans="1:14" x14ac:dyDescent="0.35">
      <c r="A228" t="s">
        <v>11</v>
      </c>
      <c r="B228" t="s">
        <v>8</v>
      </c>
      <c r="C228" t="s">
        <v>21</v>
      </c>
      <c r="D228" t="s">
        <v>10</v>
      </c>
      <c r="E228">
        <v>4</v>
      </c>
      <c r="F228">
        <v>20.45</v>
      </c>
      <c r="G228" s="9">
        <v>1</v>
      </c>
      <c r="H228" s="9">
        <v>0</v>
      </c>
      <c r="I228" s="9">
        <v>1</v>
      </c>
      <c r="J228" s="3">
        <f t="shared" si="12"/>
        <v>2</v>
      </c>
      <c r="K228">
        <v>3</v>
      </c>
      <c r="L228">
        <f t="shared" si="13"/>
        <v>3.4254978</v>
      </c>
      <c r="M228">
        <f t="shared" si="14"/>
        <v>-0.42549780000000004</v>
      </c>
      <c r="N228" s="3">
        <f t="shared" si="15"/>
        <v>0.18104837780484004</v>
      </c>
    </row>
    <row r="229" spans="1:14" x14ac:dyDescent="0.35">
      <c r="A229" t="s">
        <v>11</v>
      </c>
      <c r="B229" t="s">
        <v>8</v>
      </c>
      <c r="C229" t="s">
        <v>21</v>
      </c>
      <c r="D229" t="s">
        <v>10</v>
      </c>
      <c r="E229">
        <v>2</v>
      </c>
      <c r="F229">
        <v>13.28</v>
      </c>
      <c r="G229" s="7">
        <v>0</v>
      </c>
      <c r="H229" s="7">
        <v>1</v>
      </c>
      <c r="I229" s="7">
        <v>1</v>
      </c>
      <c r="J229" s="3">
        <f t="shared" si="12"/>
        <v>2</v>
      </c>
      <c r="K229">
        <v>2.72</v>
      </c>
      <c r="L229">
        <f t="shared" si="13"/>
        <v>2.2899702799999999</v>
      </c>
      <c r="M229">
        <f t="shared" si="14"/>
        <v>0.43002972000000028</v>
      </c>
      <c r="N229" s="3">
        <f t="shared" si="15"/>
        <v>0.18492556008327865</v>
      </c>
    </row>
    <row r="230" spans="1:14" x14ac:dyDescent="0.35">
      <c r="A230" t="s">
        <v>7</v>
      </c>
      <c r="B230" t="s">
        <v>22</v>
      </c>
      <c r="C230" t="s">
        <v>21</v>
      </c>
      <c r="D230" t="s">
        <v>10</v>
      </c>
      <c r="E230">
        <v>2</v>
      </c>
      <c r="F230">
        <v>22.12</v>
      </c>
      <c r="G230" s="9">
        <v>1</v>
      </c>
      <c r="H230" s="9">
        <v>1</v>
      </c>
      <c r="I230" s="9">
        <v>1</v>
      </c>
      <c r="J230" s="3">
        <f t="shared" si="12"/>
        <v>2</v>
      </c>
      <c r="K230">
        <v>2.88</v>
      </c>
      <c r="L230">
        <f t="shared" si="13"/>
        <v>3.1046021199999996</v>
      </c>
      <c r="M230">
        <f t="shared" si="14"/>
        <v>-0.22460211999999968</v>
      </c>
      <c r="N230" s="3">
        <f t="shared" si="15"/>
        <v>5.0446112308494259E-2</v>
      </c>
    </row>
    <row r="231" spans="1:14" x14ac:dyDescent="0.35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24.01</v>
      </c>
      <c r="G231" s="7">
        <v>1</v>
      </c>
      <c r="H231" s="7">
        <v>1</v>
      </c>
      <c r="I231" s="7">
        <v>1</v>
      </c>
      <c r="J231" s="3">
        <f t="shared" si="12"/>
        <v>2</v>
      </c>
      <c r="K231">
        <v>2</v>
      </c>
      <c r="L231">
        <f t="shared" si="13"/>
        <v>3.6799090400000001</v>
      </c>
      <c r="M231">
        <f t="shared" si="14"/>
        <v>-1.6799090400000001</v>
      </c>
      <c r="N231" s="3">
        <f t="shared" si="15"/>
        <v>2.8220943826737219</v>
      </c>
    </row>
    <row r="232" spans="1:14" x14ac:dyDescent="0.35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15.69</v>
      </c>
      <c r="G232" s="9">
        <v>1</v>
      </c>
      <c r="H232" s="9">
        <v>0</v>
      </c>
      <c r="I232" s="9">
        <v>1</v>
      </c>
      <c r="J232" s="3">
        <f t="shared" si="12"/>
        <v>2</v>
      </c>
      <c r="K232">
        <v>3</v>
      </c>
      <c r="L232">
        <f t="shared" si="13"/>
        <v>2.7955257600000003</v>
      </c>
      <c r="M232">
        <f t="shared" si="14"/>
        <v>0.2044742399999997</v>
      </c>
      <c r="N232" s="3">
        <f t="shared" si="15"/>
        <v>4.1809714823577475E-2</v>
      </c>
    </row>
    <row r="233" spans="1:14" x14ac:dyDescent="0.35">
      <c r="A233" t="s">
        <v>11</v>
      </c>
      <c r="B233" t="s">
        <v>8</v>
      </c>
      <c r="C233" t="s">
        <v>21</v>
      </c>
      <c r="D233" t="s">
        <v>10</v>
      </c>
      <c r="E233">
        <v>2</v>
      </c>
      <c r="F233">
        <v>11.61</v>
      </c>
      <c r="G233" s="7">
        <v>1</v>
      </c>
      <c r="H233" s="7">
        <v>0</v>
      </c>
      <c r="I233" s="7">
        <v>1</v>
      </c>
      <c r="J233" s="3">
        <f t="shared" si="12"/>
        <v>2</v>
      </c>
      <c r="K233">
        <v>3.39</v>
      </c>
      <c r="L233">
        <f t="shared" si="13"/>
        <v>2.2188048600000001</v>
      </c>
      <c r="M233">
        <f t="shared" si="14"/>
        <v>1.17119514</v>
      </c>
      <c r="N233" s="3">
        <f t="shared" si="15"/>
        <v>1.3716980559596197</v>
      </c>
    </row>
    <row r="234" spans="1:14" x14ac:dyDescent="0.35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10.77</v>
      </c>
      <c r="G234" s="9">
        <v>1</v>
      </c>
      <c r="H234" s="9">
        <v>1</v>
      </c>
      <c r="I234" s="9">
        <v>1</v>
      </c>
      <c r="J234" s="3">
        <f t="shared" si="12"/>
        <v>2</v>
      </c>
      <c r="K234">
        <v>1.47</v>
      </c>
      <c r="L234">
        <f t="shared" si="13"/>
        <v>2.0886867399999995</v>
      </c>
      <c r="M234">
        <f t="shared" si="14"/>
        <v>-0.61868673999999957</v>
      </c>
      <c r="N234" s="3">
        <f t="shared" si="15"/>
        <v>0.38277328225182705</v>
      </c>
    </row>
    <row r="235" spans="1:14" x14ac:dyDescent="0.35">
      <c r="A235" t="s">
        <v>11</v>
      </c>
      <c r="B235" t="s">
        <v>22</v>
      </c>
      <c r="C235" t="s">
        <v>21</v>
      </c>
      <c r="D235" t="s">
        <v>10</v>
      </c>
      <c r="E235">
        <v>2</v>
      </c>
      <c r="F235">
        <v>15.53</v>
      </c>
      <c r="G235" s="7">
        <v>1</v>
      </c>
      <c r="H235" s="7">
        <v>0</v>
      </c>
      <c r="I235" s="7">
        <v>1</v>
      </c>
      <c r="J235" s="3">
        <f t="shared" si="12"/>
        <v>2</v>
      </c>
      <c r="K235">
        <v>3</v>
      </c>
      <c r="L235">
        <f t="shared" si="13"/>
        <v>2.5915321200000001</v>
      </c>
      <c r="M235">
        <f t="shared" si="14"/>
        <v>0.40846787999999989</v>
      </c>
      <c r="N235" s="3">
        <f t="shared" si="15"/>
        <v>0.1668460089916943</v>
      </c>
    </row>
    <row r="236" spans="1:14" x14ac:dyDescent="0.35">
      <c r="A236" t="s">
        <v>11</v>
      </c>
      <c r="B236" t="s">
        <v>8</v>
      </c>
      <c r="C236" t="s">
        <v>21</v>
      </c>
      <c r="D236" t="s">
        <v>10</v>
      </c>
      <c r="E236">
        <v>2</v>
      </c>
      <c r="F236">
        <v>10.07</v>
      </c>
      <c r="G236" s="9">
        <v>1</v>
      </c>
      <c r="H236" s="9">
        <v>1</v>
      </c>
      <c r="I236" s="9">
        <v>1</v>
      </c>
      <c r="J236" s="3">
        <f t="shared" si="12"/>
        <v>2</v>
      </c>
      <c r="K236">
        <v>1.25</v>
      </c>
      <c r="L236">
        <f t="shared" si="13"/>
        <v>2.0293467799999996</v>
      </c>
      <c r="M236">
        <f t="shared" si="14"/>
        <v>-0.77934677999999957</v>
      </c>
      <c r="N236" s="3">
        <f t="shared" si="15"/>
        <v>0.60738140349636771</v>
      </c>
    </row>
    <row r="237" spans="1:14" x14ac:dyDescent="0.35">
      <c r="A237" t="s">
        <v>11</v>
      </c>
      <c r="B237" t="s">
        <v>22</v>
      </c>
      <c r="C237" t="s">
        <v>21</v>
      </c>
      <c r="D237" t="s">
        <v>10</v>
      </c>
      <c r="E237">
        <v>2</v>
      </c>
      <c r="F237">
        <v>12.6</v>
      </c>
      <c r="G237" s="7">
        <v>1</v>
      </c>
      <c r="H237" s="7">
        <v>1</v>
      </c>
      <c r="I237" s="7">
        <v>1</v>
      </c>
      <c r="J237" s="3">
        <f t="shared" si="12"/>
        <v>2</v>
      </c>
      <c r="K237">
        <v>1</v>
      </c>
      <c r="L237">
        <f t="shared" si="13"/>
        <v>2.2698654</v>
      </c>
      <c r="M237">
        <f t="shared" si="14"/>
        <v>-1.2698654</v>
      </c>
      <c r="N237" s="3">
        <f t="shared" si="15"/>
        <v>1.61255813411716</v>
      </c>
    </row>
    <row r="238" spans="1:14" x14ac:dyDescent="0.35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32.83</v>
      </c>
      <c r="G238" s="9">
        <v>0</v>
      </c>
      <c r="H238" s="9">
        <v>0</v>
      </c>
      <c r="I238" s="9">
        <v>1</v>
      </c>
      <c r="J238" s="3">
        <f t="shared" si="12"/>
        <v>2</v>
      </c>
      <c r="K238">
        <v>1.17</v>
      </c>
      <c r="L238">
        <f t="shared" si="13"/>
        <v>4.2391885800000004</v>
      </c>
      <c r="M238">
        <f t="shared" si="14"/>
        <v>-3.0691885800000005</v>
      </c>
      <c r="N238" s="3">
        <f t="shared" si="15"/>
        <v>9.4199185396024188</v>
      </c>
    </row>
    <row r="239" spans="1:14" x14ac:dyDescent="0.35">
      <c r="A239" t="s">
        <v>7</v>
      </c>
      <c r="B239" t="s">
        <v>8</v>
      </c>
      <c r="C239" t="s">
        <v>21</v>
      </c>
      <c r="D239" t="s">
        <v>10</v>
      </c>
      <c r="E239">
        <v>3</v>
      </c>
      <c r="F239">
        <v>35.83</v>
      </c>
      <c r="G239" s="7">
        <v>1</v>
      </c>
      <c r="H239" s="7">
        <v>0</v>
      </c>
      <c r="I239" s="7">
        <v>1</v>
      </c>
      <c r="J239" s="3">
        <f t="shared" si="12"/>
        <v>2</v>
      </c>
      <c r="K239">
        <v>4.67</v>
      </c>
      <c r="L239">
        <f t="shared" si="13"/>
        <v>4.6189505799999999</v>
      </c>
      <c r="M239">
        <f t="shared" si="14"/>
        <v>5.1049420000000012E-2</v>
      </c>
      <c r="N239" s="3">
        <f t="shared" si="15"/>
        <v>2.6060432823364014E-3</v>
      </c>
    </row>
    <row r="240" spans="1:14" x14ac:dyDescent="0.35">
      <c r="A240" t="s">
        <v>11</v>
      </c>
      <c r="B240" t="s">
        <v>8</v>
      </c>
      <c r="C240" t="s">
        <v>21</v>
      </c>
      <c r="D240" t="s">
        <v>10</v>
      </c>
      <c r="E240">
        <v>3</v>
      </c>
      <c r="F240">
        <v>29.03</v>
      </c>
      <c r="G240" s="9">
        <v>0</v>
      </c>
      <c r="H240" s="9">
        <v>1</v>
      </c>
      <c r="I240" s="9">
        <v>1</v>
      </c>
      <c r="J240" s="3">
        <f t="shared" si="12"/>
        <v>2</v>
      </c>
      <c r="K240">
        <v>5.92</v>
      </c>
      <c r="L240">
        <f t="shared" si="13"/>
        <v>3.8579098800000007</v>
      </c>
      <c r="M240">
        <f t="shared" si="14"/>
        <v>2.0620901199999992</v>
      </c>
      <c r="N240" s="3">
        <f t="shared" si="15"/>
        <v>4.2522156630016115</v>
      </c>
    </row>
    <row r="241" spans="1:14" x14ac:dyDescent="0.35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27.18</v>
      </c>
      <c r="G241" s="7">
        <v>1</v>
      </c>
      <c r="H241" s="7">
        <v>1</v>
      </c>
      <c r="I241" s="7">
        <v>1</v>
      </c>
      <c r="J241" s="3">
        <f t="shared" si="12"/>
        <v>2</v>
      </c>
      <c r="K241">
        <v>2</v>
      </c>
      <c r="L241">
        <f t="shared" si="13"/>
        <v>3.59510972</v>
      </c>
      <c r="M241">
        <f t="shared" si="14"/>
        <v>-1.59510972</v>
      </c>
      <c r="N241" s="3">
        <f t="shared" si="15"/>
        <v>2.5443750188384784</v>
      </c>
    </row>
    <row r="242" spans="1:14" x14ac:dyDescent="0.35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22.67</v>
      </c>
      <c r="G242" s="9">
        <v>1</v>
      </c>
      <c r="H242" s="9">
        <v>0</v>
      </c>
      <c r="I242" s="9">
        <v>1</v>
      </c>
      <c r="J242" s="3">
        <f t="shared" si="12"/>
        <v>2</v>
      </c>
      <c r="K242">
        <v>2</v>
      </c>
      <c r="L242">
        <f t="shared" si="13"/>
        <v>3.2776466800000001</v>
      </c>
      <c r="M242">
        <f t="shared" si="14"/>
        <v>-1.2776466800000001</v>
      </c>
      <c r="N242" s="3">
        <f t="shared" si="15"/>
        <v>1.6323810389150228</v>
      </c>
    </row>
    <row r="243" spans="1:14" x14ac:dyDescent="0.35">
      <c r="A243" t="s">
        <v>11</v>
      </c>
      <c r="B243" t="s">
        <v>8</v>
      </c>
      <c r="C243" t="s">
        <v>21</v>
      </c>
      <c r="D243" t="s">
        <v>10</v>
      </c>
      <c r="E243">
        <v>2</v>
      </c>
      <c r="F243">
        <v>17.82</v>
      </c>
      <c r="G243" s="7">
        <v>0</v>
      </c>
      <c r="H243" s="7">
        <v>0</v>
      </c>
      <c r="I243" s="7">
        <v>1</v>
      </c>
      <c r="J243" s="3">
        <f t="shared" si="12"/>
        <v>2</v>
      </c>
      <c r="K243">
        <v>1.75</v>
      </c>
      <c r="L243">
        <f t="shared" si="13"/>
        <v>2.8347477799999998</v>
      </c>
      <c r="M243">
        <f t="shared" si="14"/>
        <v>-1.0847477799999998</v>
      </c>
      <c r="N243" s="3">
        <f t="shared" si="15"/>
        <v>1.176677746214928</v>
      </c>
    </row>
    <row r="244" spans="1:14" x14ac:dyDescent="0.35">
      <c r="A244" t="s">
        <v>7</v>
      </c>
      <c r="B244" t="s">
        <v>8</v>
      </c>
      <c r="C244" t="s">
        <v>23</v>
      </c>
      <c r="D244" t="s">
        <v>10</v>
      </c>
      <c r="E244">
        <v>2</v>
      </c>
      <c r="F244">
        <v>18.78</v>
      </c>
      <c r="G244" s="8"/>
      <c r="H244" s="8"/>
      <c r="I244" s="8"/>
      <c r="J244">
        <f t="shared" si="12"/>
        <v>3</v>
      </c>
      <c r="K244">
        <v>3</v>
      </c>
      <c r="L244">
        <f t="shared" si="13"/>
        <v>2.8921801200000004</v>
      </c>
      <c r="M244">
        <f t="shared" si="14"/>
        <v>0.10781987999999965</v>
      </c>
      <c r="N244" s="3">
        <f t="shared" si="15"/>
        <v>1.1625126523214324E-2</v>
      </c>
    </row>
    <row r="245" spans="1:14" ht="15" thickBot="1" x14ac:dyDescent="0.4">
      <c r="A245" t="s">
        <v>57</v>
      </c>
      <c r="J245" s="3"/>
      <c r="L245" s="3"/>
      <c r="M245" s="3"/>
      <c r="N245" s="3"/>
    </row>
    <row r="246" spans="1:14" ht="15" thickTop="1" x14ac:dyDescent="0.35">
      <c r="A246" s="13">
        <f>AVERAGE(N2:N244)</f>
        <v>1.0774375538222882</v>
      </c>
    </row>
    <row r="247" spans="1:14" x14ac:dyDescent="0.35">
      <c r="A247" s="12" t="s">
        <v>58</v>
      </c>
    </row>
    <row r="248" spans="1:14" x14ac:dyDescent="0.35">
      <c r="A248">
        <f>SQRT(A246)</f>
        <v>1.0379968949001188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Views>
    <sheetView workbookViewId="0">
      <selection activeCell="I10" sqref="I10"/>
    </sheetView>
  </sheetViews>
  <sheetFormatPr defaultColWidth="13.453125" defaultRowHeight="14.5" x14ac:dyDescent="0.35"/>
  <cols>
    <col min="11" max="11" width="46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 x14ac:dyDescent="0.35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 x14ac:dyDescent="0.35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 x14ac:dyDescent="0.35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 x14ac:dyDescent="0.35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 x14ac:dyDescent="0.35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 x14ac:dyDescent="0.35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 x14ac:dyDescent="0.35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 x14ac:dyDescent="0.35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 x14ac:dyDescent="0.35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 x14ac:dyDescent="0.35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 x14ac:dyDescent="0.35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 x14ac:dyDescent="0.35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 x14ac:dyDescent="0.35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 x14ac:dyDescent="0.35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 x14ac:dyDescent="0.35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 x14ac:dyDescent="0.35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 x14ac:dyDescent="0.35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 x14ac:dyDescent="0.35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 x14ac:dyDescent="0.35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 x14ac:dyDescent="0.35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 x14ac:dyDescent="0.35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 x14ac:dyDescent="0.35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 x14ac:dyDescent="0.35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 x14ac:dyDescent="0.35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 x14ac:dyDescent="0.35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 x14ac:dyDescent="0.3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 x14ac:dyDescent="0.3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 x14ac:dyDescent="0.35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 x14ac:dyDescent="0.35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 x14ac:dyDescent="0.35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 x14ac:dyDescent="0.35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 x14ac:dyDescent="0.35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 x14ac:dyDescent="0.35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 x14ac:dyDescent="0.35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 x14ac:dyDescent="0.35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 x14ac:dyDescent="0.35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 x14ac:dyDescent="0.35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 x14ac:dyDescent="0.35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 x14ac:dyDescent="0.35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 x14ac:dyDescent="0.35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 x14ac:dyDescent="0.35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 x14ac:dyDescent="0.35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 x14ac:dyDescent="0.35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 x14ac:dyDescent="0.35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 x14ac:dyDescent="0.35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 x14ac:dyDescent="0.35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 x14ac:dyDescent="0.35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 x14ac:dyDescent="0.35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 x14ac:dyDescent="0.35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 x14ac:dyDescent="0.35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 x14ac:dyDescent="0.35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 x14ac:dyDescent="0.35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 x14ac:dyDescent="0.35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 x14ac:dyDescent="0.35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 x14ac:dyDescent="0.35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 x14ac:dyDescent="0.35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 x14ac:dyDescent="0.35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 x14ac:dyDescent="0.35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 x14ac:dyDescent="0.35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 x14ac:dyDescent="0.35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 x14ac:dyDescent="0.35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 x14ac:dyDescent="0.35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 x14ac:dyDescent="0.35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 x14ac:dyDescent="0.35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 x14ac:dyDescent="0.35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 x14ac:dyDescent="0.35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 x14ac:dyDescent="0.35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 x14ac:dyDescent="0.35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 x14ac:dyDescent="0.35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 x14ac:dyDescent="0.35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 x14ac:dyDescent="0.35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 x14ac:dyDescent="0.35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 x14ac:dyDescent="0.35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 x14ac:dyDescent="0.35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 x14ac:dyDescent="0.35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 x14ac:dyDescent="0.35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 x14ac:dyDescent="0.35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 x14ac:dyDescent="0.35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 x14ac:dyDescent="0.35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 x14ac:dyDescent="0.35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 x14ac:dyDescent="0.35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 x14ac:dyDescent="0.35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 x14ac:dyDescent="0.35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 x14ac:dyDescent="0.35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 x14ac:dyDescent="0.35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 x14ac:dyDescent="0.35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 x14ac:dyDescent="0.35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 x14ac:dyDescent="0.35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 x14ac:dyDescent="0.35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 x14ac:dyDescent="0.35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 x14ac:dyDescent="0.35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 x14ac:dyDescent="0.35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 x14ac:dyDescent="0.35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 x14ac:dyDescent="0.35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 x14ac:dyDescent="0.35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 x14ac:dyDescent="0.35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 x14ac:dyDescent="0.35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 x14ac:dyDescent="0.35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 x14ac:dyDescent="0.35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 x14ac:dyDescent="0.35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 x14ac:dyDescent="0.35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 x14ac:dyDescent="0.35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 x14ac:dyDescent="0.35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 x14ac:dyDescent="0.35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 x14ac:dyDescent="0.35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 x14ac:dyDescent="0.35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 x14ac:dyDescent="0.35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 x14ac:dyDescent="0.35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 x14ac:dyDescent="0.35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 x14ac:dyDescent="0.35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 x14ac:dyDescent="0.35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 x14ac:dyDescent="0.35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 x14ac:dyDescent="0.35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 x14ac:dyDescent="0.35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 x14ac:dyDescent="0.35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 x14ac:dyDescent="0.35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 x14ac:dyDescent="0.35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 x14ac:dyDescent="0.35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 x14ac:dyDescent="0.35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 x14ac:dyDescent="0.35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 x14ac:dyDescent="0.35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 x14ac:dyDescent="0.35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 x14ac:dyDescent="0.35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 x14ac:dyDescent="0.35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 x14ac:dyDescent="0.35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 x14ac:dyDescent="0.35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 x14ac:dyDescent="0.35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 x14ac:dyDescent="0.35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 x14ac:dyDescent="0.35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 x14ac:dyDescent="0.35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 x14ac:dyDescent="0.35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 x14ac:dyDescent="0.35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 x14ac:dyDescent="0.35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 x14ac:dyDescent="0.35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 x14ac:dyDescent="0.35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 x14ac:dyDescent="0.35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 x14ac:dyDescent="0.35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 x14ac:dyDescent="0.35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 x14ac:dyDescent="0.35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 x14ac:dyDescent="0.35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 x14ac:dyDescent="0.35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 x14ac:dyDescent="0.35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 x14ac:dyDescent="0.35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 x14ac:dyDescent="0.35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 x14ac:dyDescent="0.35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 x14ac:dyDescent="0.35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 x14ac:dyDescent="0.35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 x14ac:dyDescent="0.35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 x14ac:dyDescent="0.35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 x14ac:dyDescent="0.35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 x14ac:dyDescent="0.35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 x14ac:dyDescent="0.35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 x14ac:dyDescent="0.35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 x14ac:dyDescent="0.35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 x14ac:dyDescent="0.35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 x14ac:dyDescent="0.35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 x14ac:dyDescent="0.35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 x14ac:dyDescent="0.35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 x14ac:dyDescent="0.35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 x14ac:dyDescent="0.35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 x14ac:dyDescent="0.35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 x14ac:dyDescent="0.35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 x14ac:dyDescent="0.35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 x14ac:dyDescent="0.35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 x14ac:dyDescent="0.35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 x14ac:dyDescent="0.35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 x14ac:dyDescent="0.35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 x14ac:dyDescent="0.35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 x14ac:dyDescent="0.35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 x14ac:dyDescent="0.35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 x14ac:dyDescent="0.35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 x14ac:dyDescent="0.35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 x14ac:dyDescent="0.35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 x14ac:dyDescent="0.35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 x14ac:dyDescent="0.35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 x14ac:dyDescent="0.35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 x14ac:dyDescent="0.35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 x14ac:dyDescent="0.35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 x14ac:dyDescent="0.35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 x14ac:dyDescent="0.35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 x14ac:dyDescent="0.35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 x14ac:dyDescent="0.35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 x14ac:dyDescent="0.35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 x14ac:dyDescent="0.35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 x14ac:dyDescent="0.35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 x14ac:dyDescent="0.35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 x14ac:dyDescent="0.35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 x14ac:dyDescent="0.35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 x14ac:dyDescent="0.35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 x14ac:dyDescent="0.35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 x14ac:dyDescent="0.35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 x14ac:dyDescent="0.35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 x14ac:dyDescent="0.35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 x14ac:dyDescent="0.35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 x14ac:dyDescent="0.35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 x14ac:dyDescent="0.35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 x14ac:dyDescent="0.35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 x14ac:dyDescent="0.35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 x14ac:dyDescent="0.35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13</v>
      </c>
      <c r="G204">
        <v>2</v>
      </c>
    </row>
    <row r="205" spans="1:7" x14ac:dyDescent="0.35">
      <c r="A205" t="s">
        <v>7</v>
      </c>
      <c r="B205" t="s">
        <v>22</v>
      </c>
      <c r="C205" t="s">
        <v>23</v>
      </c>
      <c r="D205" t="s">
        <v>24</v>
      </c>
      <c r="E205">
        <v>2</v>
      </c>
      <c r="F205">
        <v>16.399999999999999</v>
      </c>
      <c r="G205">
        <v>2.5</v>
      </c>
    </row>
    <row r="206" spans="1:7" x14ac:dyDescent="0.35">
      <c r="A206" t="s">
        <v>11</v>
      </c>
      <c r="B206" t="s">
        <v>22</v>
      </c>
      <c r="C206" t="s">
        <v>23</v>
      </c>
      <c r="D206" t="s">
        <v>24</v>
      </c>
      <c r="E206">
        <v>4</v>
      </c>
      <c r="F206">
        <v>20.53</v>
      </c>
      <c r="G206">
        <v>4</v>
      </c>
    </row>
    <row r="207" spans="1:7" x14ac:dyDescent="0.35">
      <c r="A207" t="s">
        <v>7</v>
      </c>
      <c r="B207" t="s">
        <v>22</v>
      </c>
      <c r="C207" t="s">
        <v>23</v>
      </c>
      <c r="D207" t="s">
        <v>24</v>
      </c>
      <c r="E207">
        <v>3</v>
      </c>
      <c r="F207">
        <v>16.47</v>
      </c>
      <c r="G207">
        <v>3.23</v>
      </c>
    </row>
    <row r="208" spans="1:7" x14ac:dyDescent="0.35">
      <c r="A208" t="s">
        <v>11</v>
      </c>
      <c r="B208" t="s">
        <v>22</v>
      </c>
      <c r="C208" t="s">
        <v>21</v>
      </c>
      <c r="D208" t="s">
        <v>10</v>
      </c>
      <c r="E208">
        <v>3</v>
      </c>
      <c r="F208">
        <v>26.59</v>
      </c>
      <c r="G208">
        <v>3.41</v>
      </c>
    </row>
    <row r="209" spans="1:7" x14ac:dyDescent="0.35">
      <c r="A209" t="s">
        <v>11</v>
      </c>
      <c r="B209" t="s">
        <v>22</v>
      </c>
      <c r="C209" t="s">
        <v>21</v>
      </c>
      <c r="D209" t="s">
        <v>10</v>
      </c>
      <c r="E209">
        <v>4</v>
      </c>
      <c r="F209">
        <v>38.729999999999997</v>
      </c>
      <c r="G209">
        <v>3</v>
      </c>
    </row>
    <row r="210" spans="1:7" x14ac:dyDescent="0.35">
      <c r="A210" t="s">
        <v>11</v>
      </c>
      <c r="B210" t="s">
        <v>22</v>
      </c>
      <c r="C210" t="s">
        <v>21</v>
      </c>
      <c r="D210" t="s">
        <v>10</v>
      </c>
      <c r="E210">
        <v>2</v>
      </c>
      <c r="F210">
        <v>24.27</v>
      </c>
      <c r="G210">
        <v>2.0299999999999998</v>
      </c>
    </row>
    <row r="211" spans="1:7" x14ac:dyDescent="0.35">
      <c r="A211" t="s">
        <v>7</v>
      </c>
      <c r="B211" t="s">
        <v>22</v>
      </c>
      <c r="C211" t="s">
        <v>21</v>
      </c>
      <c r="D211" t="s">
        <v>10</v>
      </c>
      <c r="E211">
        <v>2</v>
      </c>
      <c r="F211">
        <v>12.76</v>
      </c>
      <c r="G211">
        <v>2.23</v>
      </c>
    </row>
    <row r="212" spans="1:7" x14ac:dyDescent="0.35">
      <c r="A212" t="s">
        <v>11</v>
      </c>
      <c r="B212" t="s">
        <v>22</v>
      </c>
      <c r="C212" t="s">
        <v>21</v>
      </c>
      <c r="D212" t="s">
        <v>10</v>
      </c>
      <c r="E212">
        <v>3</v>
      </c>
      <c r="F212">
        <v>30.06</v>
      </c>
      <c r="G212">
        <v>2</v>
      </c>
    </row>
    <row r="213" spans="1:7" x14ac:dyDescent="0.35">
      <c r="A213" t="s">
        <v>11</v>
      </c>
      <c r="B213" t="s">
        <v>22</v>
      </c>
      <c r="C213" t="s">
        <v>21</v>
      </c>
      <c r="D213" t="s">
        <v>10</v>
      </c>
      <c r="E213">
        <v>4</v>
      </c>
      <c r="F213">
        <v>25.89</v>
      </c>
      <c r="G213">
        <v>5.16</v>
      </c>
    </row>
    <row r="214" spans="1:7" x14ac:dyDescent="0.35">
      <c r="A214" t="s">
        <v>11</v>
      </c>
      <c r="B214" t="s">
        <v>8</v>
      </c>
      <c r="C214" t="s">
        <v>21</v>
      </c>
      <c r="D214" t="s">
        <v>10</v>
      </c>
      <c r="E214">
        <v>4</v>
      </c>
      <c r="F214">
        <v>48.33</v>
      </c>
      <c r="G214">
        <v>9</v>
      </c>
    </row>
    <row r="215" spans="1:7" x14ac:dyDescent="0.35">
      <c r="A215" t="s">
        <v>7</v>
      </c>
      <c r="B215" t="s">
        <v>22</v>
      </c>
      <c r="C215" t="s">
        <v>21</v>
      </c>
      <c r="D215" t="s">
        <v>10</v>
      </c>
      <c r="E215">
        <v>2</v>
      </c>
      <c r="F215">
        <v>13.27</v>
      </c>
      <c r="G215">
        <v>2.5</v>
      </c>
    </row>
    <row r="216" spans="1:7" x14ac:dyDescent="0.35">
      <c r="A216" t="s">
        <v>7</v>
      </c>
      <c r="B216" t="s">
        <v>22</v>
      </c>
      <c r="C216" t="s">
        <v>21</v>
      </c>
      <c r="D216" t="s">
        <v>10</v>
      </c>
      <c r="E216">
        <v>3</v>
      </c>
      <c r="F216">
        <v>28.17</v>
      </c>
      <c r="G216">
        <v>6.5</v>
      </c>
    </row>
    <row r="217" spans="1:7" x14ac:dyDescent="0.35">
      <c r="A217" t="s">
        <v>7</v>
      </c>
      <c r="B217" t="s">
        <v>22</v>
      </c>
      <c r="C217" t="s">
        <v>21</v>
      </c>
      <c r="D217" t="s">
        <v>10</v>
      </c>
      <c r="E217">
        <v>2</v>
      </c>
      <c r="F217">
        <v>12.9</v>
      </c>
      <c r="G217">
        <v>1.1000000000000001</v>
      </c>
    </row>
    <row r="218" spans="1:7" x14ac:dyDescent="0.35">
      <c r="A218" t="s">
        <v>11</v>
      </c>
      <c r="B218" t="s">
        <v>22</v>
      </c>
      <c r="C218" t="s">
        <v>21</v>
      </c>
      <c r="D218" t="s">
        <v>10</v>
      </c>
      <c r="E218">
        <v>5</v>
      </c>
      <c r="F218">
        <v>28.15</v>
      </c>
      <c r="G218">
        <v>3</v>
      </c>
    </row>
    <row r="219" spans="1:7" x14ac:dyDescent="0.35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11.59</v>
      </c>
      <c r="G219">
        <v>1.5</v>
      </c>
    </row>
    <row r="220" spans="1:7" x14ac:dyDescent="0.35">
      <c r="A220" t="s">
        <v>11</v>
      </c>
      <c r="B220" t="s">
        <v>22</v>
      </c>
      <c r="C220" t="s">
        <v>21</v>
      </c>
      <c r="D220" t="s">
        <v>10</v>
      </c>
      <c r="E220">
        <v>2</v>
      </c>
      <c r="F220">
        <v>7.74</v>
      </c>
      <c r="G220">
        <v>1.44</v>
      </c>
    </row>
    <row r="221" spans="1:7" x14ac:dyDescent="0.35">
      <c r="A221" t="s">
        <v>7</v>
      </c>
      <c r="B221" t="s">
        <v>22</v>
      </c>
      <c r="C221" t="s">
        <v>21</v>
      </c>
      <c r="D221" t="s">
        <v>10</v>
      </c>
      <c r="E221">
        <v>4</v>
      </c>
      <c r="F221">
        <v>30.14</v>
      </c>
      <c r="G221">
        <v>3.09</v>
      </c>
    </row>
    <row r="222" spans="1:7" x14ac:dyDescent="0.35">
      <c r="A222" t="s">
        <v>11</v>
      </c>
      <c r="B222" t="s">
        <v>22</v>
      </c>
      <c r="C222" t="s">
        <v>25</v>
      </c>
      <c r="D222" t="s">
        <v>24</v>
      </c>
      <c r="E222">
        <v>2</v>
      </c>
      <c r="F222">
        <v>12.16</v>
      </c>
      <c r="G222">
        <v>2.2000000000000002</v>
      </c>
    </row>
    <row r="223" spans="1:7" x14ac:dyDescent="0.35">
      <c r="A223" t="s">
        <v>7</v>
      </c>
      <c r="B223" t="s">
        <v>22</v>
      </c>
      <c r="C223" t="s">
        <v>25</v>
      </c>
      <c r="D223" t="s">
        <v>24</v>
      </c>
      <c r="E223">
        <v>2</v>
      </c>
      <c r="F223">
        <v>13.42</v>
      </c>
      <c r="G223">
        <v>3.48</v>
      </c>
    </row>
    <row r="224" spans="1:7" x14ac:dyDescent="0.35">
      <c r="A224" t="s">
        <v>11</v>
      </c>
      <c r="B224" t="s">
        <v>22</v>
      </c>
      <c r="C224" t="s">
        <v>25</v>
      </c>
      <c r="D224" t="s">
        <v>24</v>
      </c>
      <c r="E224">
        <v>1</v>
      </c>
      <c r="F224">
        <v>8.58</v>
      </c>
      <c r="G224">
        <v>1.92</v>
      </c>
    </row>
    <row r="225" spans="1:7" x14ac:dyDescent="0.35">
      <c r="A225" t="s">
        <v>7</v>
      </c>
      <c r="B225" t="s">
        <v>8</v>
      </c>
      <c r="C225" t="s">
        <v>25</v>
      </c>
      <c r="D225" t="s">
        <v>24</v>
      </c>
      <c r="E225">
        <v>3</v>
      </c>
      <c r="F225">
        <v>15.98</v>
      </c>
      <c r="G225">
        <v>3</v>
      </c>
    </row>
    <row r="226" spans="1:7" x14ac:dyDescent="0.35">
      <c r="A226" t="s">
        <v>11</v>
      </c>
      <c r="B226" t="s">
        <v>22</v>
      </c>
      <c r="C226" t="s">
        <v>25</v>
      </c>
      <c r="D226" t="s">
        <v>24</v>
      </c>
      <c r="E226">
        <v>2</v>
      </c>
      <c r="F226">
        <v>13.42</v>
      </c>
      <c r="G226">
        <v>1.58</v>
      </c>
    </row>
    <row r="227" spans="1:7" x14ac:dyDescent="0.35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16.27</v>
      </c>
      <c r="G227">
        <v>2.5</v>
      </c>
    </row>
    <row r="228" spans="1:7" x14ac:dyDescent="0.35">
      <c r="A228" t="s">
        <v>7</v>
      </c>
      <c r="B228" t="s">
        <v>22</v>
      </c>
      <c r="C228" t="s">
        <v>25</v>
      </c>
      <c r="D228" t="s">
        <v>24</v>
      </c>
      <c r="E228">
        <v>2</v>
      </c>
      <c r="F228">
        <v>10.09</v>
      </c>
      <c r="G228">
        <v>2</v>
      </c>
    </row>
    <row r="229" spans="1:7" x14ac:dyDescent="0.35">
      <c r="A229" t="s">
        <v>11</v>
      </c>
      <c r="B229" t="s">
        <v>8</v>
      </c>
      <c r="C229" t="s">
        <v>21</v>
      </c>
      <c r="D229" t="s">
        <v>10</v>
      </c>
      <c r="E229">
        <v>4</v>
      </c>
      <c r="F229">
        <v>20.45</v>
      </c>
      <c r="G229">
        <v>3</v>
      </c>
    </row>
    <row r="230" spans="1:7" x14ac:dyDescent="0.35">
      <c r="A230" t="s">
        <v>11</v>
      </c>
      <c r="B230" t="s">
        <v>8</v>
      </c>
      <c r="C230" t="s">
        <v>21</v>
      </c>
      <c r="D230" t="s">
        <v>10</v>
      </c>
      <c r="E230">
        <v>2</v>
      </c>
      <c r="F230">
        <v>13.28</v>
      </c>
      <c r="G230">
        <v>2.72</v>
      </c>
    </row>
    <row r="231" spans="1:7" x14ac:dyDescent="0.35">
      <c r="A231" t="s">
        <v>7</v>
      </c>
      <c r="B231" t="s">
        <v>22</v>
      </c>
      <c r="C231" t="s">
        <v>21</v>
      </c>
      <c r="D231" t="s">
        <v>10</v>
      </c>
      <c r="E231">
        <v>2</v>
      </c>
      <c r="F231">
        <v>22.12</v>
      </c>
      <c r="G231">
        <v>2.88</v>
      </c>
    </row>
    <row r="232" spans="1:7" x14ac:dyDescent="0.35">
      <c r="A232" t="s">
        <v>11</v>
      </c>
      <c r="B232" t="s">
        <v>22</v>
      </c>
      <c r="C232" t="s">
        <v>21</v>
      </c>
      <c r="D232" t="s">
        <v>10</v>
      </c>
      <c r="E232">
        <v>4</v>
      </c>
      <c r="F232">
        <v>24.01</v>
      </c>
      <c r="G232">
        <v>2</v>
      </c>
    </row>
    <row r="233" spans="1:7" x14ac:dyDescent="0.35">
      <c r="A233" t="s">
        <v>11</v>
      </c>
      <c r="B233" t="s">
        <v>22</v>
      </c>
      <c r="C233" t="s">
        <v>21</v>
      </c>
      <c r="D233" t="s">
        <v>10</v>
      </c>
      <c r="E233">
        <v>3</v>
      </c>
      <c r="F233">
        <v>15.69</v>
      </c>
      <c r="G233">
        <v>3</v>
      </c>
    </row>
    <row r="234" spans="1:7" x14ac:dyDescent="0.35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11.61</v>
      </c>
      <c r="G234">
        <v>3.39</v>
      </c>
    </row>
    <row r="235" spans="1:7" x14ac:dyDescent="0.35">
      <c r="A235" t="s">
        <v>11</v>
      </c>
      <c r="B235" t="s">
        <v>8</v>
      </c>
      <c r="C235" t="s">
        <v>21</v>
      </c>
      <c r="D235" t="s">
        <v>10</v>
      </c>
      <c r="E235">
        <v>2</v>
      </c>
      <c r="F235">
        <v>10.77</v>
      </c>
      <c r="G235">
        <v>1.47</v>
      </c>
    </row>
    <row r="236" spans="1:7" x14ac:dyDescent="0.35">
      <c r="A236" t="s">
        <v>11</v>
      </c>
      <c r="B236" t="s">
        <v>22</v>
      </c>
      <c r="C236" t="s">
        <v>21</v>
      </c>
      <c r="D236" t="s">
        <v>10</v>
      </c>
      <c r="E236">
        <v>2</v>
      </c>
      <c r="F236">
        <v>15.53</v>
      </c>
      <c r="G236">
        <v>3</v>
      </c>
    </row>
    <row r="237" spans="1:7" x14ac:dyDescent="0.35">
      <c r="A237" t="s">
        <v>11</v>
      </c>
      <c r="B237" t="s">
        <v>8</v>
      </c>
      <c r="C237" t="s">
        <v>21</v>
      </c>
      <c r="D237" t="s">
        <v>10</v>
      </c>
      <c r="E237">
        <v>2</v>
      </c>
      <c r="F237">
        <v>10.07</v>
      </c>
      <c r="G237">
        <v>1.25</v>
      </c>
    </row>
    <row r="238" spans="1:7" x14ac:dyDescent="0.35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12.6</v>
      </c>
      <c r="G238">
        <v>1</v>
      </c>
    </row>
    <row r="239" spans="1:7" x14ac:dyDescent="0.35">
      <c r="A239" t="s">
        <v>11</v>
      </c>
      <c r="B239" t="s">
        <v>22</v>
      </c>
      <c r="C239" t="s">
        <v>21</v>
      </c>
      <c r="D239" t="s">
        <v>10</v>
      </c>
      <c r="E239">
        <v>2</v>
      </c>
      <c r="F239">
        <v>32.83</v>
      </c>
      <c r="G239">
        <v>1.17</v>
      </c>
    </row>
    <row r="240" spans="1:7" x14ac:dyDescent="0.35">
      <c r="A240" t="s">
        <v>7</v>
      </c>
      <c r="B240" t="s">
        <v>8</v>
      </c>
      <c r="C240" t="s">
        <v>21</v>
      </c>
      <c r="D240" t="s">
        <v>10</v>
      </c>
      <c r="E240">
        <v>3</v>
      </c>
      <c r="F240">
        <v>35.83</v>
      </c>
      <c r="G240">
        <v>4.67</v>
      </c>
    </row>
    <row r="241" spans="1:7" x14ac:dyDescent="0.35">
      <c r="A241" t="s">
        <v>11</v>
      </c>
      <c r="B241" t="s">
        <v>8</v>
      </c>
      <c r="C241" t="s">
        <v>21</v>
      </c>
      <c r="D241" t="s">
        <v>10</v>
      </c>
      <c r="E241">
        <v>3</v>
      </c>
      <c r="F241">
        <v>29.03</v>
      </c>
      <c r="G241">
        <v>5.92</v>
      </c>
    </row>
    <row r="242" spans="1:7" x14ac:dyDescent="0.35">
      <c r="A242" t="s">
        <v>7</v>
      </c>
      <c r="B242" t="s">
        <v>22</v>
      </c>
      <c r="C242" t="s">
        <v>21</v>
      </c>
      <c r="D242" t="s">
        <v>10</v>
      </c>
      <c r="E242">
        <v>2</v>
      </c>
      <c r="F242">
        <v>27.18</v>
      </c>
      <c r="G242">
        <v>2</v>
      </c>
    </row>
    <row r="243" spans="1:7" x14ac:dyDescent="0.35">
      <c r="A243" t="s">
        <v>11</v>
      </c>
      <c r="B243" t="s">
        <v>22</v>
      </c>
      <c r="C243" t="s">
        <v>21</v>
      </c>
      <c r="D243" t="s">
        <v>10</v>
      </c>
      <c r="E243">
        <v>2</v>
      </c>
      <c r="F243">
        <v>22.67</v>
      </c>
      <c r="G243">
        <v>2</v>
      </c>
    </row>
    <row r="244" spans="1:7" x14ac:dyDescent="0.35">
      <c r="A244" t="s">
        <v>11</v>
      </c>
      <c r="B244" t="s">
        <v>8</v>
      </c>
      <c r="C244" t="s">
        <v>21</v>
      </c>
      <c r="D244" t="s">
        <v>10</v>
      </c>
      <c r="E244">
        <v>2</v>
      </c>
      <c r="F244">
        <v>17.82</v>
      </c>
      <c r="G244">
        <v>1.75</v>
      </c>
    </row>
    <row r="245" spans="1:7" x14ac:dyDescent="0.35">
      <c r="A245" t="s">
        <v>7</v>
      </c>
      <c r="B245" t="s">
        <v>8</v>
      </c>
      <c r="C245" t="s">
        <v>23</v>
      </c>
      <c r="D245" t="s">
        <v>10</v>
      </c>
      <c r="E245">
        <v>2</v>
      </c>
      <c r="F245">
        <v>18.78</v>
      </c>
      <c r="G245">
        <v>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="65" workbookViewId="0">
      <selection activeCell="D5" sqref="D5"/>
    </sheetView>
  </sheetViews>
  <sheetFormatPr defaultRowHeight="14.5" x14ac:dyDescent="0.35"/>
  <cols>
    <col min="1" max="1" width="18.26953125" customWidth="1"/>
    <col min="2" max="2" width="28.26953125" customWidth="1"/>
    <col min="3" max="3" width="18.1796875" customWidth="1"/>
    <col min="4" max="4" width="22.7265625" customWidth="1"/>
    <col min="5" max="5" width="14.1796875" customWidth="1"/>
    <col min="6" max="6" width="16" customWidth="1"/>
    <col min="7" max="7" width="15" customWidth="1"/>
    <col min="8" max="8" width="15.6328125" customWidth="1"/>
    <col min="9" max="9" width="22.1796875" customWidth="1"/>
  </cols>
  <sheetData>
    <row r="1" spans="1:9" x14ac:dyDescent="0.35">
      <c r="A1" s="14" t="s">
        <v>31</v>
      </c>
      <c r="B1" s="14"/>
    </row>
    <row r="3" spans="1:9" x14ac:dyDescent="0.35">
      <c r="A3" s="15" t="s">
        <v>32</v>
      </c>
      <c r="B3" s="15"/>
    </row>
    <row r="4" spans="1:9" x14ac:dyDescent="0.35">
      <c r="A4" s="16" t="s">
        <v>33</v>
      </c>
      <c r="B4" s="16">
        <v>0.68592233847181627</v>
      </c>
    </row>
    <row r="5" spans="1:9" x14ac:dyDescent="0.35">
      <c r="A5" s="16" t="s">
        <v>34</v>
      </c>
      <c r="B5" s="16">
        <v>0.47048945441464496</v>
      </c>
    </row>
    <row r="6" spans="1:9" x14ac:dyDescent="0.35">
      <c r="A6" s="16" t="s">
        <v>35</v>
      </c>
      <c r="B6" s="16">
        <v>0.45697003622948695</v>
      </c>
    </row>
    <row r="7" spans="1:9" x14ac:dyDescent="0.35">
      <c r="A7" s="16" t="s">
        <v>36</v>
      </c>
      <c r="B7" s="16">
        <v>1.0194553975500673</v>
      </c>
    </row>
    <row r="8" spans="1:9" x14ac:dyDescent="0.35">
      <c r="A8" s="16" t="s">
        <v>37</v>
      </c>
      <c r="B8" s="16">
        <v>242</v>
      </c>
    </row>
    <row r="10" spans="1:9" x14ac:dyDescent="0.35">
      <c r="A10" s="14" t="s">
        <v>38</v>
      </c>
    </row>
    <row r="11" spans="1:9" x14ac:dyDescent="0.35">
      <c r="A11" s="25" t="s">
        <v>43</v>
      </c>
      <c r="B11" s="25"/>
      <c r="C11" s="17" t="s">
        <v>44</v>
      </c>
      <c r="D11" s="17" t="s">
        <v>45</v>
      </c>
      <c r="E11" s="17" t="s">
        <v>46</v>
      </c>
      <c r="F11" s="17" t="s">
        <v>47</v>
      </c>
    </row>
    <row r="12" spans="1:9" x14ac:dyDescent="0.35">
      <c r="A12" s="16" t="s">
        <v>39</v>
      </c>
      <c r="B12" s="16">
        <v>6</v>
      </c>
      <c r="C12" s="16">
        <v>217.00992717822839</v>
      </c>
      <c r="D12" s="16">
        <v>36.168321196371402</v>
      </c>
      <c r="E12" s="16">
        <v>34.801013473431986</v>
      </c>
      <c r="F12" s="16">
        <v>5.7368224148831579E-30</v>
      </c>
    </row>
    <row r="13" spans="1:9" x14ac:dyDescent="0.35">
      <c r="A13" s="16" t="s">
        <v>40</v>
      </c>
      <c r="B13" s="16">
        <v>235</v>
      </c>
      <c r="C13" s="16">
        <v>244.23298728458195</v>
      </c>
      <c r="D13" s="16">
        <v>1.0392893075939658</v>
      </c>
      <c r="E13" s="16"/>
      <c r="F13" s="16"/>
    </row>
    <row r="14" spans="1:9" x14ac:dyDescent="0.35">
      <c r="A14" s="19" t="s">
        <v>41</v>
      </c>
      <c r="B14" s="19">
        <v>241</v>
      </c>
      <c r="C14" s="19">
        <v>461.24291446281035</v>
      </c>
      <c r="D14" s="16"/>
      <c r="E14" s="16"/>
      <c r="F14" s="16"/>
    </row>
    <row r="16" spans="1:9" x14ac:dyDescent="0.35">
      <c r="A16" s="17"/>
      <c r="B16" s="17" t="s">
        <v>48</v>
      </c>
      <c r="C16" s="17" t="s">
        <v>36</v>
      </c>
      <c r="D16" s="17" t="s">
        <v>49</v>
      </c>
      <c r="E16" s="17" t="s">
        <v>50</v>
      </c>
      <c r="F16" s="17" t="s">
        <v>51</v>
      </c>
      <c r="G16" s="17" t="s">
        <v>52</v>
      </c>
      <c r="H16" s="17" t="s">
        <v>53</v>
      </c>
      <c r="I16" s="17" t="s">
        <v>54</v>
      </c>
    </row>
    <row r="17" spans="1:9" x14ac:dyDescent="0.35">
      <c r="A17" s="16" t="s">
        <v>42</v>
      </c>
      <c r="B17" s="19">
        <v>0.77585703085866453</v>
      </c>
      <c r="C17" s="16">
        <v>0.39777424253111149</v>
      </c>
      <c r="D17" s="16">
        <v>1.950495904213762</v>
      </c>
      <c r="E17" s="19">
        <v>5.2305915521911106E-2</v>
      </c>
      <c r="F17" s="16">
        <v>-7.8020068629519601E-3</v>
      </c>
      <c r="G17" s="16">
        <v>1.5595160685802809</v>
      </c>
      <c r="H17" s="16">
        <v>-7.8020068629519601E-3</v>
      </c>
      <c r="I17" s="16">
        <v>1.5595160685802809</v>
      </c>
    </row>
    <row r="18" spans="1:9" x14ac:dyDescent="0.35">
      <c r="A18" s="16">
        <v>2</v>
      </c>
      <c r="B18" s="19">
        <v>0.18917714002347225</v>
      </c>
      <c r="C18" s="16">
        <v>8.8841271134993127E-2</v>
      </c>
      <c r="D18" s="16">
        <v>2.1293835354518973</v>
      </c>
      <c r="E18" s="19">
        <v>3.4262536076843507E-2</v>
      </c>
      <c r="F18" s="16">
        <v>1.4150057815733308E-2</v>
      </c>
      <c r="G18" s="16">
        <v>0.36420422223121118</v>
      </c>
      <c r="H18" s="16">
        <v>1.4150057815733308E-2</v>
      </c>
      <c r="I18" s="16">
        <v>0.36420422223121118</v>
      </c>
    </row>
    <row r="19" spans="1:9" x14ac:dyDescent="0.35">
      <c r="A19" s="16">
        <v>16.989999999999998</v>
      </c>
      <c r="B19" s="19">
        <v>9.2604761543185643E-2</v>
      </c>
      <c r="C19" s="16">
        <v>9.4768639556775981E-3</v>
      </c>
      <c r="D19" s="16">
        <v>9.7716672916578116</v>
      </c>
      <c r="E19" s="19">
        <v>3.8125954210403177E-19</v>
      </c>
      <c r="F19" s="16">
        <v>7.3934296505359293E-2</v>
      </c>
      <c r="G19" s="16">
        <v>0.11127522658101199</v>
      </c>
      <c r="H19" s="16">
        <v>7.3934296505359293E-2</v>
      </c>
      <c r="I19" s="16">
        <v>0.11127522658101199</v>
      </c>
    </row>
    <row r="20" spans="1:9" x14ac:dyDescent="0.35">
      <c r="A20" s="16">
        <v>0</v>
      </c>
      <c r="B20" s="19">
        <v>-0.10018170552505834</v>
      </c>
      <c r="C20" s="16">
        <v>0.1415639124973376</v>
      </c>
      <c r="D20" s="16">
        <v>-0.70767827589494225</v>
      </c>
      <c r="E20" s="19">
        <v>0.47984631663417732</v>
      </c>
      <c r="F20" s="16">
        <v>-0.37907819399010473</v>
      </c>
      <c r="G20" s="16">
        <v>0.17871478293998805</v>
      </c>
      <c r="H20" s="16">
        <v>-0.37907819399010473</v>
      </c>
      <c r="I20" s="16">
        <v>0.17871478293998805</v>
      </c>
    </row>
    <row r="21" spans="1:9" x14ac:dyDescent="0.35">
      <c r="A21" s="16">
        <v>0</v>
      </c>
      <c r="B21" s="19">
        <v>2.4859105555294483E-2</v>
      </c>
      <c r="C21" s="16">
        <v>0.14346496537630465</v>
      </c>
      <c r="D21" s="16">
        <v>0.1732764894208822</v>
      </c>
      <c r="E21" s="19">
        <v>0.86258325947782033</v>
      </c>
      <c r="F21" s="16">
        <v>-0.25778266631550867</v>
      </c>
      <c r="G21" s="16">
        <v>0.30750087742609761</v>
      </c>
      <c r="H21" s="16">
        <v>-0.25778266631550867</v>
      </c>
      <c r="I21" s="16">
        <v>0.30750087742609761</v>
      </c>
    </row>
    <row r="22" spans="1:9" x14ac:dyDescent="0.35">
      <c r="A22" s="16">
        <v>1</v>
      </c>
      <c r="B22" s="19">
        <v>2.4544393723109834E-2</v>
      </c>
      <c r="C22" s="16">
        <v>0.19868904489862149</v>
      </c>
      <c r="D22" s="16">
        <v>0.12353169111881983</v>
      </c>
      <c r="E22" s="19">
        <v>0.9017916697857945</v>
      </c>
      <c r="F22" s="16">
        <v>-0.36689489289410371</v>
      </c>
      <c r="G22" s="16">
        <v>0.4159836803403234</v>
      </c>
      <c r="H22" s="16">
        <v>-0.36689489289410371</v>
      </c>
      <c r="I22" s="16">
        <v>0.4159836803403234</v>
      </c>
    </row>
    <row r="23" spans="1:9" x14ac:dyDescent="0.35">
      <c r="A23" s="16">
        <v>1</v>
      </c>
      <c r="B23" s="19">
        <v>-2.4922354060163146E-2</v>
      </c>
      <c r="C23" s="16">
        <v>9.7816212309082093E-2</v>
      </c>
      <c r="D23" s="16">
        <v>-0.25478755997434122</v>
      </c>
      <c r="E23" s="19">
        <v>0.79911000996963233</v>
      </c>
      <c r="F23" s="16">
        <v>-0.21763105818323908</v>
      </c>
      <c r="G23" s="16">
        <v>0.16778635006291281</v>
      </c>
      <c r="H23" s="16">
        <v>-0.21763105818323908</v>
      </c>
      <c r="I23" s="16">
        <v>0.16778635006291281</v>
      </c>
    </row>
    <row r="27" spans="1:9" x14ac:dyDescent="0.35">
      <c r="A27" s="14" t="s">
        <v>60</v>
      </c>
    </row>
    <row r="28" spans="1:9" x14ac:dyDescent="0.35">
      <c r="A28" s="18" t="s">
        <v>61</v>
      </c>
      <c r="B28" s="18"/>
      <c r="C28" s="18"/>
      <c r="D28" s="18"/>
      <c r="E28" s="18"/>
      <c r="F28" s="18"/>
      <c r="G28" s="18"/>
      <c r="H28" s="18"/>
    </row>
  </sheetData>
  <mergeCells count="1">
    <mergeCell ref="A11:B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4"/>
  <sheetViews>
    <sheetView topLeftCell="B1" workbookViewId="0">
      <selection activeCell="C253" sqref="C253"/>
    </sheetView>
  </sheetViews>
  <sheetFormatPr defaultColWidth="13.453125" defaultRowHeight="14.5" x14ac:dyDescent="0.35"/>
  <cols>
    <col min="8" max="8" width="17.81640625" customWidth="1"/>
    <col min="11" max="11" width="28.7265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26</v>
      </c>
      <c r="H1" s="6" t="s">
        <v>27</v>
      </c>
      <c r="I1" s="5" t="s">
        <v>28</v>
      </c>
      <c r="J1" t="s">
        <v>29</v>
      </c>
      <c r="K1" t="s">
        <v>6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 s="7">
        <v>0</v>
      </c>
      <c r="H2" s="7">
        <v>0</v>
      </c>
      <c r="I2" s="7">
        <v>1</v>
      </c>
      <c r="J2" s="3">
        <f t="shared" ref="J2:J65" si="0">IF(C2="Sun",1,IF(C2="sat",2,IF(C2="thur",3,4)))</f>
        <v>1</v>
      </c>
      <c r="K2">
        <v>1.01</v>
      </c>
      <c r="O2" s="1" t="s">
        <v>12</v>
      </c>
      <c r="P2" s="1" t="s">
        <v>13</v>
      </c>
    </row>
    <row r="3" spans="1:16" x14ac:dyDescent="0.35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 s="9">
        <v>1</v>
      </c>
      <c r="H3" s="9">
        <v>0</v>
      </c>
      <c r="I3" s="9">
        <v>1</v>
      </c>
      <c r="J3" s="4">
        <f t="shared" si="0"/>
        <v>1</v>
      </c>
      <c r="K3">
        <v>1.66</v>
      </c>
      <c r="O3" s="1" t="s">
        <v>1</v>
      </c>
      <c r="P3" s="1" t="s">
        <v>14</v>
      </c>
    </row>
    <row r="4" spans="1:16" x14ac:dyDescent="0.35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 s="7">
        <v>1</v>
      </c>
      <c r="H4" s="7">
        <v>0</v>
      </c>
      <c r="I4" s="10">
        <v>1</v>
      </c>
      <c r="J4" s="4">
        <f t="shared" si="0"/>
        <v>1</v>
      </c>
      <c r="K4">
        <v>3.5</v>
      </c>
      <c r="O4" s="1" t="s">
        <v>2</v>
      </c>
      <c r="P4" s="1" t="s">
        <v>15</v>
      </c>
    </row>
    <row r="5" spans="1:16" x14ac:dyDescent="0.35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 s="9">
        <v>1</v>
      </c>
      <c r="H5" s="9">
        <v>0</v>
      </c>
      <c r="I5" s="11">
        <v>1</v>
      </c>
      <c r="J5" s="4">
        <f t="shared" si="0"/>
        <v>1</v>
      </c>
      <c r="K5">
        <v>3.31</v>
      </c>
      <c r="O5" s="1" t="s">
        <v>3</v>
      </c>
      <c r="P5" s="1" t="s">
        <v>16</v>
      </c>
    </row>
    <row r="6" spans="1:16" x14ac:dyDescent="0.35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 s="7">
        <v>0</v>
      </c>
      <c r="H6" s="7">
        <v>0</v>
      </c>
      <c r="I6" s="10">
        <v>1</v>
      </c>
      <c r="J6" s="4">
        <f t="shared" si="0"/>
        <v>1</v>
      </c>
      <c r="K6">
        <v>3.61</v>
      </c>
      <c r="O6" s="1" t="s">
        <v>4</v>
      </c>
      <c r="P6" s="1" t="s">
        <v>17</v>
      </c>
    </row>
    <row r="7" spans="1:16" x14ac:dyDescent="0.35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 s="9">
        <v>1</v>
      </c>
      <c r="H7" s="9">
        <v>0</v>
      </c>
      <c r="I7" s="11">
        <v>1</v>
      </c>
      <c r="J7" s="4">
        <f t="shared" si="0"/>
        <v>1</v>
      </c>
      <c r="K7">
        <v>4.71</v>
      </c>
      <c r="O7" s="1" t="s">
        <v>18</v>
      </c>
      <c r="P7" s="1" t="s">
        <v>19</v>
      </c>
    </row>
    <row r="8" spans="1:16" x14ac:dyDescent="0.35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 s="7">
        <v>1</v>
      </c>
      <c r="H8" s="7">
        <v>0</v>
      </c>
      <c r="I8" s="10">
        <v>1</v>
      </c>
      <c r="J8" s="4">
        <f t="shared" si="0"/>
        <v>1</v>
      </c>
      <c r="K8">
        <v>2</v>
      </c>
      <c r="O8" s="1" t="s">
        <v>6</v>
      </c>
      <c r="P8" s="1" t="s">
        <v>20</v>
      </c>
    </row>
    <row r="9" spans="1:16" x14ac:dyDescent="0.35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 s="9">
        <v>1</v>
      </c>
      <c r="H9" s="9">
        <v>0</v>
      </c>
      <c r="I9" s="11">
        <v>1</v>
      </c>
      <c r="J9" s="4">
        <f t="shared" si="0"/>
        <v>1</v>
      </c>
      <c r="K9">
        <v>3.12</v>
      </c>
    </row>
    <row r="10" spans="1:16" x14ac:dyDescent="0.35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 s="7">
        <v>1</v>
      </c>
      <c r="H10" s="7">
        <v>0</v>
      </c>
      <c r="I10" s="7">
        <v>1</v>
      </c>
      <c r="J10" s="3">
        <f t="shared" si="0"/>
        <v>1</v>
      </c>
      <c r="K10">
        <v>1.96</v>
      </c>
    </row>
    <row r="11" spans="1:16" x14ac:dyDescent="0.35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 s="9">
        <v>1</v>
      </c>
      <c r="H11" s="9">
        <v>0</v>
      </c>
      <c r="I11" s="9">
        <v>1</v>
      </c>
      <c r="J11" s="3">
        <f t="shared" si="0"/>
        <v>1</v>
      </c>
      <c r="K11">
        <v>3.23</v>
      </c>
    </row>
    <row r="12" spans="1:16" x14ac:dyDescent="0.35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 s="7">
        <v>1</v>
      </c>
      <c r="H12" s="7">
        <v>0</v>
      </c>
      <c r="I12" s="7">
        <v>1</v>
      </c>
      <c r="J12" s="3">
        <f t="shared" si="0"/>
        <v>1</v>
      </c>
      <c r="K12">
        <v>1.71</v>
      </c>
    </row>
    <row r="13" spans="1:16" x14ac:dyDescent="0.35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 s="9">
        <v>0</v>
      </c>
      <c r="H13" s="9">
        <v>0</v>
      </c>
      <c r="I13" s="9">
        <v>1</v>
      </c>
      <c r="J13" s="3">
        <f t="shared" si="0"/>
        <v>1</v>
      </c>
      <c r="K13">
        <v>5</v>
      </c>
    </row>
    <row r="14" spans="1:16" x14ac:dyDescent="0.35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 s="7">
        <v>1</v>
      </c>
      <c r="H14" s="7">
        <v>0</v>
      </c>
      <c r="I14" s="7">
        <v>1</v>
      </c>
      <c r="J14" s="3">
        <f t="shared" si="0"/>
        <v>1</v>
      </c>
      <c r="K14">
        <v>1.57</v>
      </c>
    </row>
    <row r="15" spans="1:16" x14ac:dyDescent="0.35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 s="9">
        <v>1</v>
      </c>
      <c r="H15" s="9">
        <v>0</v>
      </c>
      <c r="I15" s="9">
        <v>1</v>
      </c>
      <c r="J15" s="3">
        <f t="shared" si="0"/>
        <v>1</v>
      </c>
      <c r="K15">
        <v>3</v>
      </c>
    </row>
    <row r="16" spans="1:16" x14ac:dyDescent="0.35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 s="7">
        <v>0</v>
      </c>
      <c r="H16" s="7">
        <v>0</v>
      </c>
      <c r="I16" s="7">
        <v>1</v>
      </c>
      <c r="J16" s="3">
        <f t="shared" si="0"/>
        <v>1</v>
      </c>
      <c r="K16">
        <v>3.02</v>
      </c>
    </row>
    <row r="17" spans="1:11" x14ac:dyDescent="0.35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 s="9">
        <v>1</v>
      </c>
      <c r="H17" s="9">
        <v>0</v>
      </c>
      <c r="I17" s="9">
        <v>1</v>
      </c>
      <c r="J17" s="3">
        <f t="shared" si="0"/>
        <v>1</v>
      </c>
      <c r="K17">
        <v>3.92</v>
      </c>
    </row>
    <row r="18" spans="1:11" x14ac:dyDescent="0.35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 s="7">
        <v>0</v>
      </c>
      <c r="H18" s="7">
        <v>0</v>
      </c>
      <c r="I18" s="7">
        <v>1</v>
      </c>
      <c r="J18" s="3">
        <f t="shared" si="0"/>
        <v>1</v>
      </c>
      <c r="K18">
        <v>1.67</v>
      </c>
    </row>
    <row r="19" spans="1:11" x14ac:dyDescent="0.35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 s="9">
        <v>1</v>
      </c>
      <c r="H19" s="9">
        <v>0</v>
      </c>
      <c r="I19" s="9">
        <v>1</v>
      </c>
      <c r="J19" s="3">
        <f t="shared" si="0"/>
        <v>1</v>
      </c>
      <c r="K19">
        <v>3.71</v>
      </c>
    </row>
    <row r="20" spans="1:11" x14ac:dyDescent="0.35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 s="7">
        <v>0</v>
      </c>
      <c r="H20" s="7">
        <v>0</v>
      </c>
      <c r="I20" s="7">
        <v>1</v>
      </c>
      <c r="J20" s="3">
        <f t="shared" si="0"/>
        <v>1</v>
      </c>
      <c r="K20">
        <v>3.5</v>
      </c>
    </row>
    <row r="21" spans="1:11" x14ac:dyDescent="0.35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 s="9">
        <v>1</v>
      </c>
      <c r="H21" s="9">
        <v>0</v>
      </c>
      <c r="I21" s="9">
        <v>1</v>
      </c>
      <c r="J21" s="3">
        <f t="shared" si="0"/>
        <v>2</v>
      </c>
      <c r="K21">
        <v>3.35</v>
      </c>
    </row>
    <row r="22" spans="1:11" x14ac:dyDescent="0.35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 s="7">
        <v>1</v>
      </c>
      <c r="H22" s="7">
        <v>0</v>
      </c>
      <c r="I22" s="7">
        <v>1</v>
      </c>
      <c r="J22" s="3">
        <f t="shared" si="0"/>
        <v>2</v>
      </c>
      <c r="K22">
        <v>4.08</v>
      </c>
    </row>
    <row r="23" spans="1:11" x14ac:dyDescent="0.35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 s="9">
        <v>0</v>
      </c>
      <c r="H23" s="9">
        <v>0</v>
      </c>
      <c r="I23" s="9">
        <v>1</v>
      </c>
      <c r="J23" s="4">
        <f t="shared" si="0"/>
        <v>2</v>
      </c>
      <c r="K23">
        <v>2.75</v>
      </c>
    </row>
    <row r="24" spans="1:11" x14ac:dyDescent="0.35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 s="7">
        <v>0</v>
      </c>
      <c r="H24" s="7">
        <v>0</v>
      </c>
      <c r="I24" s="7">
        <v>1</v>
      </c>
      <c r="J24" s="3">
        <f t="shared" si="0"/>
        <v>2</v>
      </c>
      <c r="K24">
        <v>2.23</v>
      </c>
    </row>
    <row r="25" spans="1:11" x14ac:dyDescent="0.35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 s="9">
        <v>1</v>
      </c>
      <c r="H25" s="9">
        <v>0</v>
      </c>
      <c r="I25" s="9">
        <v>1</v>
      </c>
      <c r="J25" s="3">
        <f t="shared" si="0"/>
        <v>2</v>
      </c>
      <c r="K25">
        <v>7.58</v>
      </c>
    </row>
    <row r="26" spans="1:11" x14ac:dyDescent="0.35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 s="7">
        <v>1</v>
      </c>
      <c r="H26" s="7">
        <v>0</v>
      </c>
      <c r="I26" s="7">
        <v>1</v>
      </c>
      <c r="J26" s="3">
        <f t="shared" si="0"/>
        <v>2</v>
      </c>
      <c r="K26">
        <v>3.18</v>
      </c>
    </row>
    <row r="27" spans="1:11" x14ac:dyDescent="0.35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 s="9">
        <v>1</v>
      </c>
      <c r="H27" s="9">
        <v>0</v>
      </c>
      <c r="I27" s="9">
        <v>1</v>
      </c>
      <c r="J27" s="3">
        <f t="shared" si="0"/>
        <v>2</v>
      </c>
      <c r="K27">
        <v>2.34</v>
      </c>
    </row>
    <row r="28" spans="1:11" x14ac:dyDescent="0.3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 s="7">
        <v>1</v>
      </c>
      <c r="H28" s="7">
        <v>0</v>
      </c>
      <c r="I28" s="7">
        <v>1</v>
      </c>
      <c r="J28" s="3">
        <f t="shared" si="0"/>
        <v>2</v>
      </c>
      <c r="K28">
        <v>2</v>
      </c>
    </row>
    <row r="29" spans="1:11" x14ac:dyDescent="0.3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 s="9">
        <v>1</v>
      </c>
      <c r="H29" s="9">
        <v>0</v>
      </c>
      <c r="I29" s="9">
        <v>1</v>
      </c>
      <c r="J29" s="3">
        <f t="shared" si="0"/>
        <v>2</v>
      </c>
      <c r="K29">
        <v>2</v>
      </c>
    </row>
    <row r="30" spans="1:11" x14ac:dyDescent="0.35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 s="7">
        <v>1</v>
      </c>
      <c r="H30" s="7">
        <v>0</v>
      </c>
      <c r="I30" s="7">
        <v>1</v>
      </c>
      <c r="J30" s="3">
        <f t="shared" si="0"/>
        <v>2</v>
      </c>
      <c r="K30">
        <v>4.3</v>
      </c>
    </row>
    <row r="31" spans="1:11" x14ac:dyDescent="0.35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 s="9">
        <v>0</v>
      </c>
      <c r="H31" s="9">
        <v>0</v>
      </c>
      <c r="I31" s="9">
        <v>1</v>
      </c>
      <c r="J31" s="3">
        <f t="shared" si="0"/>
        <v>2</v>
      </c>
      <c r="K31">
        <v>3</v>
      </c>
    </row>
    <row r="32" spans="1:11" x14ac:dyDescent="0.35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 s="7">
        <v>1</v>
      </c>
      <c r="H32" s="7">
        <v>0</v>
      </c>
      <c r="I32" s="7">
        <v>1</v>
      </c>
      <c r="J32" s="3">
        <f t="shared" si="0"/>
        <v>2</v>
      </c>
      <c r="K32">
        <v>1.45</v>
      </c>
    </row>
    <row r="33" spans="1:11" x14ac:dyDescent="0.35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 s="9">
        <v>1</v>
      </c>
      <c r="H33" s="9">
        <v>0</v>
      </c>
      <c r="I33" s="9">
        <v>1</v>
      </c>
      <c r="J33" s="3">
        <f t="shared" si="0"/>
        <v>2</v>
      </c>
      <c r="K33">
        <v>2.5</v>
      </c>
    </row>
    <row r="34" spans="1:11" x14ac:dyDescent="0.35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 s="7">
        <v>0</v>
      </c>
      <c r="H34" s="7">
        <v>0</v>
      </c>
      <c r="I34" s="7">
        <v>1</v>
      </c>
      <c r="J34" s="3">
        <f t="shared" si="0"/>
        <v>2</v>
      </c>
      <c r="K34">
        <v>3</v>
      </c>
    </row>
    <row r="35" spans="1:11" x14ac:dyDescent="0.35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 s="9">
        <v>0</v>
      </c>
      <c r="H35" s="9">
        <v>0</v>
      </c>
      <c r="I35" s="9">
        <v>1</v>
      </c>
      <c r="J35" s="3">
        <f t="shared" si="0"/>
        <v>2</v>
      </c>
      <c r="K35">
        <v>2.4500000000000002</v>
      </c>
    </row>
    <row r="36" spans="1:11" x14ac:dyDescent="0.35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 s="7">
        <v>1</v>
      </c>
      <c r="H36" s="7">
        <v>0</v>
      </c>
      <c r="I36" s="7">
        <v>1</v>
      </c>
      <c r="J36" s="3">
        <f t="shared" si="0"/>
        <v>2</v>
      </c>
      <c r="K36">
        <v>3.27</v>
      </c>
    </row>
    <row r="37" spans="1:11" x14ac:dyDescent="0.35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 s="9">
        <v>1</v>
      </c>
      <c r="H37" s="9">
        <v>0</v>
      </c>
      <c r="I37" s="9">
        <v>1</v>
      </c>
      <c r="J37" s="3">
        <f t="shared" si="0"/>
        <v>2</v>
      </c>
      <c r="K37">
        <v>3.6</v>
      </c>
    </row>
    <row r="38" spans="1:11" x14ac:dyDescent="0.35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 s="7">
        <v>1</v>
      </c>
      <c r="H38" s="7">
        <v>0</v>
      </c>
      <c r="I38" s="7">
        <v>1</v>
      </c>
      <c r="J38" s="3">
        <f t="shared" si="0"/>
        <v>2</v>
      </c>
      <c r="K38">
        <v>2</v>
      </c>
    </row>
    <row r="39" spans="1:11" x14ac:dyDescent="0.35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 s="9">
        <v>0</v>
      </c>
      <c r="H39" s="9">
        <v>0</v>
      </c>
      <c r="I39" s="9">
        <v>1</v>
      </c>
      <c r="J39" s="3">
        <f t="shared" si="0"/>
        <v>2</v>
      </c>
      <c r="K39">
        <v>3.07</v>
      </c>
    </row>
    <row r="40" spans="1:11" x14ac:dyDescent="0.35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 s="7">
        <v>1</v>
      </c>
      <c r="H40" s="7">
        <v>0</v>
      </c>
      <c r="I40" s="7">
        <v>1</v>
      </c>
      <c r="J40" s="3">
        <f t="shared" si="0"/>
        <v>2</v>
      </c>
      <c r="K40">
        <v>2.31</v>
      </c>
    </row>
    <row r="41" spans="1:11" x14ac:dyDescent="0.35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 s="9">
        <v>1</v>
      </c>
      <c r="H41" s="9">
        <v>0</v>
      </c>
      <c r="I41" s="9">
        <v>1</v>
      </c>
      <c r="J41" s="3">
        <f t="shared" si="0"/>
        <v>2</v>
      </c>
      <c r="K41">
        <v>5</v>
      </c>
    </row>
    <row r="42" spans="1:11" x14ac:dyDescent="0.35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 s="7">
        <v>1</v>
      </c>
      <c r="H42" s="7">
        <v>0</v>
      </c>
      <c r="I42" s="7">
        <v>1</v>
      </c>
      <c r="J42" s="3">
        <f t="shared" si="0"/>
        <v>2</v>
      </c>
      <c r="K42">
        <v>2.2400000000000002</v>
      </c>
    </row>
    <row r="43" spans="1:11" x14ac:dyDescent="0.35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 s="9">
        <v>1</v>
      </c>
      <c r="H43" s="9">
        <v>0</v>
      </c>
      <c r="I43" s="9">
        <v>1</v>
      </c>
      <c r="J43" s="3">
        <f t="shared" si="0"/>
        <v>1</v>
      </c>
      <c r="K43">
        <v>2.54</v>
      </c>
    </row>
    <row r="44" spans="1:11" x14ac:dyDescent="0.35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 s="7">
        <v>1</v>
      </c>
      <c r="H44" s="7">
        <v>0</v>
      </c>
      <c r="I44" s="7">
        <v>1</v>
      </c>
      <c r="J44" s="3">
        <f t="shared" si="0"/>
        <v>1</v>
      </c>
      <c r="K44">
        <v>3.06</v>
      </c>
    </row>
    <row r="45" spans="1:11" x14ac:dyDescent="0.35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 s="9">
        <v>1</v>
      </c>
      <c r="H45" s="9">
        <v>0</v>
      </c>
      <c r="I45" s="9">
        <v>1</v>
      </c>
      <c r="J45" s="3">
        <f t="shared" si="0"/>
        <v>1</v>
      </c>
      <c r="K45">
        <v>1.32</v>
      </c>
    </row>
    <row r="46" spans="1:11" x14ac:dyDescent="0.35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 s="7">
        <v>1</v>
      </c>
      <c r="H46" s="7">
        <v>0</v>
      </c>
      <c r="I46" s="7">
        <v>1</v>
      </c>
      <c r="J46" s="3">
        <f t="shared" si="0"/>
        <v>1</v>
      </c>
      <c r="K46">
        <v>5.6</v>
      </c>
    </row>
    <row r="47" spans="1:11" x14ac:dyDescent="0.35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 s="9">
        <v>1</v>
      </c>
      <c r="H47" s="9">
        <v>0</v>
      </c>
      <c r="I47" s="9">
        <v>1</v>
      </c>
      <c r="J47" s="3">
        <f t="shared" si="0"/>
        <v>1</v>
      </c>
      <c r="K47">
        <v>3</v>
      </c>
    </row>
    <row r="48" spans="1:11" x14ac:dyDescent="0.35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 s="7">
        <v>1</v>
      </c>
      <c r="H48" s="7">
        <v>0</v>
      </c>
      <c r="I48" s="7">
        <v>1</v>
      </c>
      <c r="J48" s="3">
        <f t="shared" si="0"/>
        <v>1</v>
      </c>
      <c r="K48">
        <v>5</v>
      </c>
    </row>
    <row r="49" spans="1:11" x14ac:dyDescent="0.35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 s="9">
        <v>1</v>
      </c>
      <c r="H49" s="9">
        <v>0</v>
      </c>
      <c r="I49" s="9">
        <v>1</v>
      </c>
      <c r="J49" s="3">
        <f t="shared" si="0"/>
        <v>1</v>
      </c>
      <c r="K49">
        <v>6</v>
      </c>
    </row>
    <row r="50" spans="1:11" x14ac:dyDescent="0.35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 s="7">
        <v>1</v>
      </c>
      <c r="H50" s="7">
        <v>0</v>
      </c>
      <c r="I50" s="7">
        <v>1</v>
      </c>
      <c r="J50" s="3">
        <f t="shared" si="0"/>
        <v>1</v>
      </c>
      <c r="K50">
        <v>2.0499999999999998</v>
      </c>
    </row>
    <row r="51" spans="1:11" x14ac:dyDescent="0.35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 s="9">
        <v>1</v>
      </c>
      <c r="H51" s="9">
        <v>0</v>
      </c>
      <c r="I51" s="9">
        <v>1</v>
      </c>
      <c r="J51" s="3">
        <f t="shared" si="0"/>
        <v>1</v>
      </c>
      <c r="K51">
        <v>3</v>
      </c>
    </row>
    <row r="52" spans="1:11" x14ac:dyDescent="0.35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 s="7">
        <v>1</v>
      </c>
      <c r="H52" s="7">
        <v>0</v>
      </c>
      <c r="I52" s="7">
        <v>1</v>
      </c>
      <c r="J52" s="3">
        <f t="shared" si="0"/>
        <v>1</v>
      </c>
      <c r="K52">
        <v>2.5</v>
      </c>
    </row>
    <row r="53" spans="1:11" x14ac:dyDescent="0.35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 s="9">
        <v>0</v>
      </c>
      <c r="H53" s="9">
        <v>0</v>
      </c>
      <c r="I53" s="9">
        <v>1</v>
      </c>
      <c r="J53" s="3">
        <f t="shared" si="0"/>
        <v>1</v>
      </c>
      <c r="K53">
        <v>2.6</v>
      </c>
    </row>
    <row r="54" spans="1:11" x14ac:dyDescent="0.35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 s="7">
        <v>0</v>
      </c>
      <c r="H54" s="7">
        <v>0</v>
      </c>
      <c r="I54" s="7">
        <v>1</v>
      </c>
      <c r="J54" s="3">
        <f t="shared" si="0"/>
        <v>1</v>
      </c>
      <c r="K54">
        <v>5.2</v>
      </c>
    </row>
    <row r="55" spans="1:11" x14ac:dyDescent="0.35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 s="9">
        <v>1</v>
      </c>
      <c r="H55" s="9">
        <v>0</v>
      </c>
      <c r="I55" s="9">
        <v>1</v>
      </c>
      <c r="J55" s="3">
        <f t="shared" si="0"/>
        <v>1</v>
      </c>
      <c r="K55">
        <v>1.56</v>
      </c>
    </row>
    <row r="56" spans="1:11" x14ac:dyDescent="0.35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 s="7">
        <v>1</v>
      </c>
      <c r="H56" s="7">
        <v>0</v>
      </c>
      <c r="I56" s="7">
        <v>1</v>
      </c>
      <c r="J56" s="3">
        <f t="shared" si="0"/>
        <v>1</v>
      </c>
      <c r="K56">
        <v>4.34</v>
      </c>
    </row>
    <row r="57" spans="1:11" x14ac:dyDescent="0.35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 s="9">
        <v>1</v>
      </c>
      <c r="H57" s="9">
        <v>0</v>
      </c>
      <c r="I57" s="9">
        <v>1</v>
      </c>
      <c r="J57" s="3">
        <f t="shared" si="0"/>
        <v>1</v>
      </c>
      <c r="K57">
        <v>3.51</v>
      </c>
    </row>
    <row r="58" spans="1:11" x14ac:dyDescent="0.35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 s="7">
        <v>1</v>
      </c>
      <c r="H58" s="7">
        <v>1</v>
      </c>
      <c r="I58" s="7">
        <v>1</v>
      </c>
      <c r="J58" s="3">
        <f t="shared" si="0"/>
        <v>2</v>
      </c>
      <c r="K58">
        <v>3</v>
      </c>
    </row>
    <row r="59" spans="1:11" x14ac:dyDescent="0.35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 s="9">
        <v>0</v>
      </c>
      <c r="H59" s="9">
        <v>0</v>
      </c>
      <c r="I59" s="9">
        <v>1</v>
      </c>
      <c r="J59" s="3">
        <f t="shared" si="0"/>
        <v>2</v>
      </c>
      <c r="K59">
        <v>1.5</v>
      </c>
    </row>
    <row r="60" spans="1:11" x14ac:dyDescent="0.35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 s="7">
        <v>1</v>
      </c>
      <c r="H60" s="7">
        <v>1</v>
      </c>
      <c r="I60" s="7">
        <v>1</v>
      </c>
      <c r="J60" s="3">
        <f t="shared" si="0"/>
        <v>2</v>
      </c>
      <c r="K60">
        <v>1.76</v>
      </c>
    </row>
    <row r="61" spans="1:11" x14ac:dyDescent="0.35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 s="9">
        <v>1</v>
      </c>
      <c r="H61" s="9">
        <v>0</v>
      </c>
      <c r="I61" s="9">
        <v>1</v>
      </c>
      <c r="J61" s="3">
        <f t="shared" si="0"/>
        <v>2</v>
      </c>
      <c r="K61">
        <v>6.73</v>
      </c>
    </row>
    <row r="62" spans="1:11" x14ac:dyDescent="0.35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 s="7">
        <v>1</v>
      </c>
      <c r="H62" s="7">
        <v>1</v>
      </c>
      <c r="I62" s="7">
        <v>1</v>
      </c>
      <c r="J62" s="3">
        <f t="shared" si="0"/>
        <v>2</v>
      </c>
      <c r="K62">
        <v>3.21</v>
      </c>
    </row>
    <row r="63" spans="1:11" x14ac:dyDescent="0.35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 s="9">
        <v>1</v>
      </c>
      <c r="H63" s="9">
        <v>1</v>
      </c>
      <c r="I63" s="9">
        <v>1</v>
      </c>
      <c r="J63" s="3">
        <f t="shared" si="0"/>
        <v>2</v>
      </c>
      <c r="K63">
        <v>2</v>
      </c>
    </row>
    <row r="64" spans="1:11" x14ac:dyDescent="0.35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 s="7">
        <v>1</v>
      </c>
      <c r="H64" s="7">
        <v>1</v>
      </c>
      <c r="I64" s="7">
        <v>1</v>
      </c>
      <c r="J64" s="3">
        <f t="shared" si="0"/>
        <v>2</v>
      </c>
      <c r="K64">
        <v>1.98</v>
      </c>
    </row>
    <row r="65" spans="1:11" x14ac:dyDescent="0.35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 s="9">
        <v>1</v>
      </c>
      <c r="H65" s="9">
        <v>1</v>
      </c>
      <c r="I65" s="9">
        <v>1</v>
      </c>
      <c r="J65" s="3">
        <f t="shared" si="0"/>
        <v>2</v>
      </c>
      <c r="K65">
        <v>3.76</v>
      </c>
    </row>
    <row r="66" spans="1:11" x14ac:dyDescent="0.35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 s="7">
        <v>1</v>
      </c>
      <c r="H66" s="7">
        <v>0</v>
      </c>
      <c r="I66" s="7">
        <v>1</v>
      </c>
      <c r="J66" s="3">
        <f t="shared" ref="J66:J129" si="1">IF(C66="Sun",1,IF(C66="sat",2,IF(C66="thur",3,4)))</f>
        <v>2</v>
      </c>
      <c r="K66">
        <v>2.64</v>
      </c>
    </row>
    <row r="67" spans="1:11" x14ac:dyDescent="0.35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 s="9">
        <v>1</v>
      </c>
      <c r="H67" s="9">
        <v>0</v>
      </c>
      <c r="I67" s="9">
        <v>1</v>
      </c>
      <c r="J67" s="3">
        <f t="shared" si="1"/>
        <v>2</v>
      </c>
      <c r="K67">
        <v>3.15</v>
      </c>
    </row>
    <row r="68" spans="1:11" x14ac:dyDescent="0.35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 s="7">
        <v>0</v>
      </c>
      <c r="H68" s="7">
        <v>0</v>
      </c>
      <c r="I68" s="7">
        <v>1</v>
      </c>
      <c r="J68" s="3">
        <f t="shared" si="1"/>
        <v>2</v>
      </c>
      <c r="K68">
        <v>2.4700000000000002</v>
      </c>
    </row>
    <row r="69" spans="1:11" x14ac:dyDescent="0.35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 s="9">
        <v>0</v>
      </c>
      <c r="H69" s="9">
        <v>1</v>
      </c>
      <c r="I69" s="9">
        <v>1</v>
      </c>
      <c r="J69" s="3">
        <f t="shared" si="1"/>
        <v>2</v>
      </c>
      <c r="K69">
        <v>1</v>
      </c>
    </row>
    <row r="70" spans="1:11" x14ac:dyDescent="0.35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 s="7">
        <v>1</v>
      </c>
      <c r="H70" s="7">
        <v>0</v>
      </c>
      <c r="I70" s="7">
        <v>1</v>
      </c>
      <c r="J70" s="3">
        <f t="shared" si="1"/>
        <v>2</v>
      </c>
      <c r="K70">
        <v>2.0099999999999998</v>
      </c>
    </row>
    <row r="71" spans="1:11" x14ac:dyDescent="0.35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 s="9">
        <v>1</v>
      </c>
      <c r="H71" s="9">
        <v>1</v>
      </c>
      <c r="I71" s="9">
        <v>1</v>
      </c>
      <c r="J71" s="3">
        <f t="shared" si="1"/>
        <v>2</v>
      </c>
      <c r="K71">
        <v>2.09</v>
      </c>
    </row>
    <row r="72" spans="1:11" x14ac:dyDescent="0.35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 s="7">
        <v>1</v>
      </c>
      <c r="H72" s="7">
        <v>0</v>
      </c>
      <c r="I72" s="7">
        <v>1</v>
      </c>
      <c r="J72" s="3">
        <f t="shared" si="1"/>
        <v>2</v>
      </c>
      <c r="K72">
        <v>1.97</v>
      </c>
    </row>
    <row r="73" spans="1:11" x14ac:dyDescent="0.35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 s="9">
        <v>0</v>
      </c>
      <c r="H73" s="9">
        <v>0</v>
      </c>
      <c r="I73" s="9">
        <v>1</v>
      </c>
      <c r="J73" s="3">
        <f t="shared" si="1"/>
        <v>2</v>
      </c>
      <c r="K73">
        <v>3</v>
      </c>
    </row>
    <row r="74" spans="1:11" x14ac:dyDescent="0.35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 s="7">
        <v>0</v>
      </c>
      <c r="H74" s="7">
        <v>1</v>
      </c>
      <c r="I74" s="7">
        <v>1</v>
      </c>
      <c r="J74" s="3">
        <f t="shared" si="1"/>
        <v>2</v>
      </c>
      <c r="K74">
        <v>3.14</v>
      </c>
    </row>
    <row r="75" spans="1:11" x14ac:dyDescent="0.35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 s="9">
        <v>0</v>
      </c>
      <c r="H75" s="9">
        <v>1</v>
      </c>
      <c r="I75" s="9">
        <v>1</v>
      </c>
      <c r="J75" s="3">
        <f t="shared" si="1"/>
        <v>2</v>
      </c>
      <c r="K75">
        <v>5</v>
      </c>
    </row>
    <row r="76" spans="1:11" x14ac:dyDescent="0.35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 s="7">
        <v>0</v>
      </c>
      <c r="H76" s="7">
        <v>0</v>
      </c>
      <c r="I76" s="7">
        <v>1</v>
      </c>
      <c r="J76" s="3">
        <f t="shared" si="1"/>
        <v>2</v>
      </c>
      <c r="K76">
        <v>2.2000000000000002</v>
      </c>
    </row>
    <row r="77" spans="1:11" x14ac:dyDescent="0.35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 s="9">
        <v>1</v>
      </c>
      <c r="H77" s="9">
        <v>0</v>
      </c>
      <c r="I77" s="9">
        <v>1</v>
      </c>
      <c r="J77" s="3">
        <f t="shared" si="1"/>
        <v>2</v>
      </c>
      <c r="K77">
        <v>1.25</v>
      </c>
    </row>
    <row r="78" spans="1:11" x14ac:dyDescent="0.35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 s="7">
        <v>1</v>
      </c>
      <c r="H78" s="7">
        <v>1</v>
      </c>
      <c r="I78" s="7">
        <v>1</v>
      </c>
      <c r="J78" s="3">
        <f t="shared" si="1"/>
        <v>2</v>
      </c>
      <c r="K78">
        <v>3.08</v>
      </c>
    </row>
    <row r="79" spans="1:11" x14ac:dyDescent="0.35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 s="9">
        <v>1</v>
      </c>
      <c r="H79" s="9">
        <v>0</v>
      </c>
      <c r="I79" s="9">
        <v>0</v>
      </c>
      <c r="J79" s="3">
        <f t="shared" si="1"/>
        <v>3</v>
      </c>
      <c r="K79">
        <v>4</v>
      </c>
    </row>
    <row r="80" spans="1:11" x14ac:dyDescent="0.35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 s="7">
        <v>1</v>
      </c>
      <c r="H80" s="7">
        <v>0</v>
      </c>
      <c r="I80" s="7">
        <v>0</v>
      </c>
      <c r="J80" s="3">
        <f t="shared" si="1"/>
        <v>3</v>
      </c>
      <c r="K80">
        <v>3</v>
      </c>
    </row>
    <row r="81" spans="1:11" x14ac:dyDescent="0.35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 s="9">
        <v>1</v>
      </c>
      <c r="H81" s="9">
        <v>0</v>
      </c>
      <c r="I81" s="9">
        <v>0</v>
      </c>
      <c r="J81" s="3">
        <f t="shared" si="1"/>
        <v>3</v>
      </c>
      <c r="K81">
        <v>2.71</v>
      </c>
    </row>
    <row r="82" spans="1:11" x14ac:dyDescent="0.35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 s="7">
        <v>1</v>
      </c>
      <c r="H82" s="7">
        <v>1</v>
      </c>
      <c r="I82" s="7">
        <v>0</v>
      </c>
      <c r="J82" s="3">
        <f t="shared" si="1"/>
        <v>3</v>
      </c>
      <c r="K82">
        <v>3</v>
      </c>
    </row>
    <row r="83" spans="1:11" x14ac:dyDescent="0.35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 s="9">
        <v>1</v>
      </c>
      <c r="H83" s="9">
        <v>0</v>
      </c>
      <c r="I83" s="9">
        <v>0</v>
      </c>
      <c r="J83" s="3">
        <f t="shared" si="1"/>
        <v>3</v>
      </c>
      <c r="K83">
        <v>3.4</v>
      </c>
    </row>
    <row r="84" spans="1:11" x14ac:dyDescent="0.35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 s="7">
        <v>0</v>
      </c>
      <c r="H84" s="7">
        <v>0</v>
      </c>
      <c r="I84" s="7">
        <v>0</v>
      </c>
      <c r="J84" s="3">
        <f t="shared" si="1"/>
        <v>3</v>
      </c>
      <c r="K84">
        <v>1.83</v>
      </c>
    </row>
    <row r="85" spans="1:11" x14ac:dyDescent="0.35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 s="9">
        <v>1</v>
      </c>
      <c r="H85" s="9">
        <v>1</v>
      </c>
      <c r="I85" s="9">
        <v>0</v>
      </c>
      <c r="J85" s="3">
        <f t="shared" si="1"/>
        <v>3</v>
      </c>
      <c r="K85">
        <v>5</v>
      </c>
    </row>
    <row r="86" spans="1:11" x14ac:dyDescent="0.35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 s="7">
        <v>1</v>
      </c>
      <c r="H86" s="7">
        <v>0</v>
      </c>
      <c r="I86" s="7">
        <v>0</v>
      </c>
      <c r="J86" s="3">
        <f t="shared" si="1"/>
        <v>3</v>
      </c>
      <c r="K86">
        <v>2.0299999999999998</v>
      </c>
    </row>
    <row r="87" spans="1:11" x14ac:dyDescent="0.35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 s="9">
        <v>0</v>
      </c>
      <c r="H87" s="9">
        <v>0</v>
      </c>
      <c r="I87" s="9">
        <v>0</v>
      </c>
      <c r="J87" s="3">
        <f t="shared" si="1"/>
        <v>3</v>
      </c>
      <c r="K87">
        <v>5.17</v>
      </c>
    </row>
    <row r="88" spans="1:11" x14ac:dyDescent="0.35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 s="7">
        <v>1</v>
      </c>
      <c r="H88" s="7">
        <v>0</v>
      </c>
      <c r="I88" s="7">
        <v>0</v>
      </c>
      <c r="J88" s="3">
        <f t="shared" si="1"/>
        <v>3</v>
      </c>
      <c r="K88">
        <v>2</v>
      </c>
    </row>
    <row r="89" spans="1:11" x14ac:dyDescent="0.35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 s="9">
        <v>1</v>
      </c>
      <c r="H89" s="9">
        <v>0</v>
      </c>
      <c r="I89" s="9">
        <v>0</v>
      </c>
      <c r="J89" s="3">
        <f t="shared" si="1"/>
        <v>3</v>
      </c>
      <c r="K89">
        <v>4</v>
      </c>
    </row>
    <row r="90" spans="1:11" x14ac:dyDescent="0.35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 s="7">
        <v>1</v>
      </c>
      <c r="H90" s="7">
        <v>0</v>
      </c>
      <c r="I90" s="7">
        <v>0</v>
      </c>
      <c r="J90" s="3">
        <f t="shared" si="1"/>
        <v>3</v>
      </c>
      <c r="K90">
        <v>5.85</v>
      </c>
    </row>
    <row r="91" spans="1:11" x14ac:dyDescent="0.35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 s="9">
        <v>1</v>
      </c>
      <c r="H91" s="9">
        <v>0</v>
      </c>
      <c r="I91" s="9">
        <v>0</v>
      </c>
      <c r="J91" s="3">
        <f t="shared" si="1"/>
        <v>3</v>
      </c>
      <c r="K91">
        <v>3</v>
      </c>
    </row>
    <row r="92" spans="1:11" x14ac:dyDescent="0.35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 s="7">
        <v>1</v>
      </c>
      <c r="H92" s="7">
        <v>1</v>
      </c>
      <c r="I92" s="7">
        <v>1</v>
      </c>
      <c r="J92" s="3">
        <f t="shared" si="1"/>
        <v>4</v>
      </c>
      <c r="K92">
        <v>3</v>
      </c>
    </row>
    <row r="93" spans="1:11" x14ac:dyDescent="0.35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 s="9">
        <v>1</v>
      </c>
      <c r="H93" s="9">
        <v>0</v>
      </c>
      <c r="I93" s="9">
        <v>1</v>
      </c>
      <c r="J93" s="3">
        <f t="shared" si="1"/>
        <v>4</v>
      </c>
      <c r="K93">
        <v>3.5</v>
      </c>
    </row>
    <row r="94" spans="1:11" x14ac:dyDescent="0.35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 s="7">
        <v>0</v>
      </c>
      <c r="H94" s="7">
        <v>1</v>
      </c>
      <c r="I94" s="7">
        <v>1</v>
      </c>
      <c r="J94" s="3">
        <f t="shared" si="1"/>
        <v>4</v>
      </c>
      <c r="K94">
        <v>1</v>
      </c>
    </row>
    <row r="95" spans="1:11" x14ac:dyDescent="0.35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 s="9">
        <v>0</v>
      </c>
      <c r="H95" s="9">
        <v>1</v>
      </c>
      <c r="I95" s="9">
        <v>1</v>
      </c>
      <c r="J95" s="3">
        <f t="shared" si="1"/>
        <v>4</v>
      </c>
      <c r="K95">
        <v>4.3</v>
      </c>
    </row>
    <row r="96" spans="1:11" x14ac:dyDescent="0.35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 s="7">
        <v>0</v>
      </c>
      <c r="H96" s="7">
        <v>0</v>
      </c>
      <c r="I96" s="7">
        <v>1</v>
      </c>
      <c r="J96" s="3">
        <f t="shared" si="1"/>
        <v>4</v>
      </c>
      <c r="K96">
        <v>3.25</v>
      </c>
    </row>
    <row r="97" spans="1:11" x14ac:dyDescent="0.35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 s="9">
        <v>1</v>
      </c>
      <c r="H97" s="9">
        <v>1</v>
      </c>
      <c r="I97" s="9">
        <v>1</v>
      </c>
      <c r="J97" s="3">
        <f t="shared" si="1"/>
        <v>4</v>
      </c>
      <c r="K97">
        <v>4.7300000000000004</v>
      </c>
    </row>
    <row r="98" spans="1:11" x14ac:dyDescent="0.35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 s="7">
        <v>1</v>
      </c>
      <c r="H98" s="7">
        <v>1</v>
      </c>
      <c r="I98" s="7">
        <v>1</v>
      </c>
      <c r="J98" s="3">
        <f t="shared" si="1"/>
        <v>4</v>
      </c>
      <c r="K98">
        <v>4</v>
      </c>
    </row>
    <row r="99" spans="1:11" x14ac:dyDescent="0.35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 s="9">
        <v>1</v>
      </c>
      <c r="H99" s="9">
        <v>1</v>
      </c>
      <c r="I99" s="9">
        <v>1</v>
      </c>
      <c r="J99" s="3">
        <f t="shared" si="1"/>
        <v>4</v>
      </c>
      <c r="K99">
        <v>1.5</v>
      </c>
    </row>
    <row r="100" spans="1:11" x14ac:dyDescent="0.35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 s="7">
        <v>1</v>
      </c>
      <c r="H100" s="7">
        <v>1</v>
      </c>
      <c r="I100" s="7">
        <v>1</v>
      </c>
      <c r="J100" s="3">
        <f t="shared" si="1"/>
        <v>4</v>
      </c>
      <c r="K100">
        <v>3</v>
      </c>
    </row>
    <row r="101" spans="1:11" x14ac:dyDescent="0.35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 s="9">
        <v>1</v>
      </c>
      <c r="H101" s="9">
        <v>0</v>
      </c>
      <c r="I101" s="9">
        <v>1</v>
      </c>
      <c r="J101" s="3">
        <f t="shared" si="1"/>
        <v>4</v>
      </c>
      <c r="K101">
        <v>1.5</v>
      </c>
    </row>
    <row r="102" spans="1:11" x14ac:dyDescent="0.35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 s="7">
        <v>0</v>
      </c>
      <c r="H102" s="7">
        <v>1</v>
      </c>
      <c r="I102" s="7">
        <v>1</v>
      </c>
      <c r="J102" s="3">
        <f t="shared" si="1"/>
        <v>4</v>
      </c>
      <c r="K102">
        <v>2.5</v>
      </c>
    </row>
    <row r="103" spans="1:11" x14ac:dyDescent="0.35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 s="9">
        <v>0</v>
      </c>
      <c r="H103" s="9">
        <v>1</v>
      </c>
      <c r="I103" s="9">
        <v>1</v>
      </c>
      <c r="J103" s="3">
        <f t="shared" si="1"/>
        <v>4</v>
      </c>
      <c r="K103">
        <v>3</v>
      </c>
    </row>
    <row r="104" spans="1:11" x14ac:dyDescent="0.35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 s="7">
        <v>0</v>
      </c>
      <c r="H104" s="7">
        <v>1</v>
      </c>
      <c r="I104" s="7">
        <v>1</v>
      </c>
      <c r="J104" s="3">
        <f t="shared" si="1"/>
        <v>2</v>
      </c>
      <c r="K104">
        <v>2.5</v>
      </c>
    </row>
    <row r="105" spans="1:11" x14ac:dyDescent="0.35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 s="9">
        <v>0</v>
      </c>
      <c r="H105" s="9">
        <v>1</v>
      </c>
      <c r="I105" s="9">
        <v>1</v>
      </c>
      <c r="J105" s="3">
        <f t="shared" si="1"/>
        <v>2</v>
      </c>
      <c r="K105">
        <v>3.48</v>
      </c>
    </row>
    <row r="106" spans="1:11" x14ac:dyDescent="0.35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 s="7">
        <v>0</v>
      </c>
      <c r="H106" s="7">
        <v>0</v>
      </c>
      <c r="I106" s="7">
        <v>1</v>
      </c>
      <c r="J106" s="3">
        <f t="shared" si="1"/>
        <v>2</v>
      </c>
      <c r="K106">
        <v>4.08</v>
      </c>
    </row>
    <row r="107" spans="1:11" x14ac:dyDescent="0.35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 s="9">
        <v>1</v>
      </c>
      <c r="H107" s="9">
        <v>1</v>
      </c>
      <c r="I107" s="9">
        <v>1</v>
      </c>
      <c r="J107" s="3">
        <f t="shared" si="1"/>
        <v>2</v>
      </c>
      <c r="K107">
        <v>1.64</v>
      </c>
    </row>
    <row r="108" spans="1:11" x14ac:dyDescent="0.35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 s="7">
        <v>1</v>
      </c>
      <c r="H108" s="7">
        <v>1</v>
      </c>
      <c r="I108" s="7">
        <v>1</v>
      </c>
      <c r="J108" s="3">
        <f t="shared" si="1"/>
        <v>2</v>
      </c>
      <c r="K108">
        <v>4.0599999999999996</v>
      </c>
    </row>
    <row r="109" spans="1:11" x14ac:dyDescent="0.35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 s="9">
        <v>1</v>
      </c>
      <c r="H109" s="9">
        <v>1</v>
      </c>
      <c r="I109" s="9">
        <v>1</v>
      </c>
      <c r="J109" s="3">
        <f t="shared" si="1"/>
        <v>2</v>
      </c>
      <c r="K109">
        <v>4.29</v>
      </c>
    </row>
    <row r="110" spans="1:11" x14ac:dyDescent="0.35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 s="7">
        <v>1</v>
      </c>
      <c r="H110" s="7">
        <v>0</v>
      </c>
      <c r="I110" s="7">
        <v>1</v>
      </c>
      <c r="J110" s="3">
        <f t="shared" si="1"/>
        <v>2</v>
      </c>
      <c r="K110">
        <v>3.76</v>
      </c>
    </row>
    <row r="111" spans="1:11" x14ac:dyDescent="0.35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 s="9">
        <v>0</v>
      </c>
      <c r="H111" s="9">
        <v>1</v>
      </c>
      <c r="I111" s="9">
        <v>1</v>
      </c>
      <c r="J111" s="3">
        <f t="shared" si="1"/>
        <v>2</v>
      </c>
      <c r="K111">
        <v>4</v>
      </c>
    </row>
    <row r="112" spans="1:11" x14ac:dyDescent="0.35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 s="7">
        <v>1</v>
      </c>
      <c r="H112" s="7">
        <v>0</v>
      </c>
      <c r="I112" s="7">
        <v>1</v>
      </c>
      <c r="J112" s="3">
        <f t="shared" si="1"/>
        <v>2</v>
      </c>
      <c r="K112">
        <v>3</v>
      </c>
    </row>
    <row r="113" spans="1:11" x14ac:dyDescent="0.35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 s="9">
        <v>0</v>
      </c>
      <c r="H113" s="9">
        <v>0</v>
      </c>
      <c r="I113" s="9">
        <v>1</v>
      </c>
      <c r="J113" s="3">
        <f t="shared" si="1"/>
        <v>2</v>
      </c>
      <c r="K113">
        <v>1</v>
      </c>
    </row>
    <row r="114" spans="1:11" x14ac:dyDescent="0.35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 s="7">
        <v>1</v>
      </c>
      <c r="H114" s="7">
        <v>0</v>
      </c>
      <c r="I114" s="7">
        <v>1</v>
      </c>
      <c r="J114" s="3">
        <f t="shared" si="1"/>
        <v>1</v>
      </c>
      <c r="K114">
        <v>4</v>
      </c>
    </row>
    <row r="115" spans="1:11" x14ac:dyDescent="0.35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 s="9">
        <v>1</v>
      </c>
      <c r="H115" s="9">
        <v>0</v>
      </c>
      <c r="I115" s="9">
        <v>1</v>
      </c>
      <c r="J115" s="3">
        <f t="shared" si="1"/>
        <v>1</v>
      </c>
      <c r="K115">
        <v>2.5499999999999998</v>
      </c>
    </row>
    <row r="116" spans="1:11" x14ac:dyDescent="0.35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 s="7">
        <v>0</v>
      </c>
      <c r="H116" s="7">
        <v>0</v>
      </c>
      <c r="I116" s="7">
        <v>1</v>
      </c>
      <c r="J116" s="3">
        <f t="shared" si="1"/>
        <v>1</v>
      </c>
      <c r="K116">
        <v>4</v>
      </c>
    </row>
    <row r="117" spans="1:11" x14ac:dyDescent="0.35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 s="9">
        <v>0</v>
      </c>
      <c r="H117" s="9">
        <v>0</v>
      </c>
      <c r="I117" s="9">
        <v>1</v>
      </c>
      <c r="J117" s="3">
        <f t="shared" si="1"/>
        <v>1</v>
      </c>
      <c r="K117">
        <v>3.5</v>
      </c>
    </row>
    <row r="118" spans="1:11" x14ac:dyDescent="0.35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 s="7">
        <v>1</v>
      </c>
      <c r="H118" s="7">
        <v>0</v>
      </c>
      <c r="I118" s="7">
        <v>1</v>
      </c>
      <c r="J118" s="3">
        <f t="shared" si="1"/>
        <v>1</v>
      </c>
      <c r="K118">
        <v>5.07</v>
      </c>
    </row>
    <row r="119" spans="1:11" x14ac:dyDescent="0.35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 s="9">
        <v>0</v>
      </c>
      <c r="H119" s="9">
        <v>0</v>
      </c>
      <c r="I119" s="9">
        <v>0</v>
      </c>
      <c r="J119" s="3">
        <f t="shared" si="1"/>
        <v>3</v>
      </c>
      <c r="K119">
        <v>1.5</v>
      </c>
    </row>
    <row r="120" spans="1:11" x14ac:dyDescent="0.35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 s="7">
        <v>0</v>
      </c>
      <c r="H120" s="7">
        <v>0</v>
      </c>
      <c r="I120" s="7">
        <v>0</v>
      </c>
      <c r="J120" s="3">
        <f t="shared" si="1"/>
        <v>3</v>
      </c>
      <c r="K120">
        <v>1.8</v>
      </c>
    </row>
    <row r="121" spans="1:11" x14ac:dyDescent="0.35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 s="9">
        <v>0</v>
      </c>
      <c r="H121" s="9">
        <v>0</v>
      </c>
      <c r="I121" s="9">
        <v>0</v>
      </c>
      <c r="J121" s="3">
        <f t="shared" si="1"/>
        <v>3</v>
      </c>
      <c r="K121">
        <v>2.92</v>
      </c>
    </row>
    <row r="122" spans="1:11" x14ac:dyDescent="0.35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 s="7">
        <v>1</v>
      </c>
      <c r="H122" s="7">
        <v>0</v>
      </c>
      <c r="I122" s="7">
        <v>0</v>
      </c>
      <c r="J122" s="3">
        <f t="shared" si="1"/>
        <v>3</v>
      </c>
      <c r="K122">
        <v>2.31</v>
      </c>
    </row>
    <row r="123" spans="1:11" x14ac:dyDescent="0.35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 s="9">
        <v>0</v>
      </c>
      <c r="H123" s="9">
        <v>0</v>
      </c>
      <c r="I123" s="9">
        <v>0</v>
      </c>
      <c r="J123" s="3">
        <f t="shared" si="1"/>
        <v>3</v>
      </c>
      <c r="K123">
        <v>1.68</v>
      </c>
    </row>
    <row r="124" spans="1:11" x14ac:dyDescent="0.35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 s="7">
        <v>1</v>
      </c>
      <c r="H124" s="7">
        <v>0</v>
      </c>
      <c r="I124" s="7">
        <v>0</v>
      </c>
      <c r="J124" s="3">
        <f t="shared" si="1"/>
        <v>3</v>
      </c>
      <c r="K124">
        <v>2.5</v>
      </c>
    </row>
    <row r="125" spans="1:11" x14ac:dyDescent="0.35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 s="9">
        <v>1</v>
      </c>
      <c r="H125" s="9">
        <v>0</v>
      </c>
      <c r="I125" s="9">
        <v>0</v>
      </c>
      <c r="J125" s="3">
        <f t="shared" si="1"/>
        <v>3</v>
      </c>
      <c r="K125">
        <v>2</v>
      </c>
    </row>
    <row r="126" spans="1:11" x14ac:dyDescent="0.35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 s="7">
        <v>0</v>
      </c>
      <c r="H126" s="7">
        <v>0</v>
      </c>
      <c r="I126" s="7">
        <v>0</v>
      </c>
      <c r="J126" s="3">
        <f t="shared" si="1"/>
        <v>3</v>
      </c>
      <c r="K126">
        <v>2.52</v>
      </c>
    </row>
    <row r="127" spans="1:11" x14ac:dyDescent="0.35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 s="9">
        <v>0</v>
      </c>
      <c r="H127" s="9">
        <v>0</v>
      </c>
      <c r="I127" s="9">
        <v>0</v>
      </c>
      <c r="J127" s="3">
        <f t="shared" si="1"/>
        <v>3</v>
      </c>
      <c r="K127">
        <v>4.2</v>
      </c>
    </row>
    <row r="128" spans="1:11" x14ac:dyDescent="0.35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 s="7">
        <v>1</v>
      </c>
      <c r="H128" s="7">
        <v>0</v>
      </c>
      <c r="I128" s="7">
        <v>0</v>
      </c>
      <c r="J128" s="3">
        <f t="shared" si="1"/>
        <v>3</v>
      </c>
      <c r="K128">
        <v>1.48</v>
      </c>
    </row>
    <row r="129" spans="1:11" x14ac:dyDescent="0.35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 s="9">
        <v>0</v>
      </c>
      <c r="H129" s="9">
        <v>0</v>
      </c>
      <c r="I129" s="9">
        <v>0</v>
      </c>
      <c r="J129" s="3">
        <f t="shared" si="1"/>
        <v>3</v>
      </c>
      <c r="K129">
        <v>2</v>
      </c>
    </row>
    <row r="130" spans="1:11" x14ac:dyDescent="0.35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 s="7">
        <v>0</v>
      </c>
      <c r="H130" s="7">
        <v>0</v>
      </c>
      <c r="I130" s="7">
        <v>0</v>
      </c>
      <c r="J130" s="3">
        <f t="shared" ref="J130:J193" si="2">IF(C130="Sun",1,IF(C130="sat",2,IF(C130="thur",3,4)))</f>
        <v>3</v>
      </c>
      <c r="K130">
        <v>2</v>
      </c>
    </row>
    <row r="131" spans="1:11" x14ac:dyDescent="0.35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 s="9">
        <v>1</v>
      </c>
      <c r="H131" s="9">
        <v>0</v>
      </c>
      <c r="I131" s="9">
        <v>0</v>
      </c>
      <c r="J131" s="3">
        <f t="shared" si="2"/>
        <v>3</v>
      </c>
      <c r="K131">
        <v>2.1800000000000002</v>
      </c>
    </row>
    <row r="132" spans="1:11" x14ac:dyDescent="0.35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 s="7">
        <v>1</v>
      </c>
      <c r="H132" s="7">
        <v>0</v>
      </c>
      <c r="I132" s="7">
        <v>0</v>
      </c>
      <c r="J132" s="3">
        <f t="shared" si="2"/>
        <v>3</v>
      </c>
      <c r="K132">
        <v>1.5</v>
      </c>
    </row>
    <row r="133" spans="1:11" x14ac:dyDescent="0.35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 s="9">
        <v>0</v>
      </c>
      <c r="H133" s="9">
        <v>0</v>
      </c>
      <c r="I133" s="9">
        <v>0</v>
      </c>
      <c r="J133" s="3">
        <f t="shared" si="2"/>
        <v>3</v>
      </c>
      <c r="K133">
        <v>2.83</v>
      </c>
    </row>
    <row r="134" spans="1:11" x14ac:dyDescent="0.35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 s="7">
        <v>0</v>
      </c>
      <c r="H134" s="7">
        <v>0</v>
      </c>
      <c r="I134" s="7">
        <v>0</v>
      </c>
      <c r="J134" s="3">
        <f t="shared" si="2"/>
        <v>3</v>
      </c>
      <c r="K134">
        <v>1.5</v>
      </c>
    </row>
    <row r="135" spans="1:11" x14ac:dyDescent="0.35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 s="9">
        <v>0</v>
      </c>
      <c r="H135" s="9">
        <v>0</v>
      </c>
      <c r="I135" s="9">
        <v>0</v>
      </c>
      <c r="J135" s="3">
        <f t="shared" si="2"/>
        <v>3</v>
      </c>
      <c r="K135">
        <v>2</v>
      </c>
    </row>
    <row r="136" spans="1:11" x14ac:dyDescent="0.35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 s="7">
        <v>0</v>
      </c>
      <c r="H136" s="7">
        <v>0</v>
      </c>
      <c r="I136" s="7">
        <v>0</v>
      </c>
      <c r="J136" s="3">
        <f t="shared" si="2"/>
        <v>3</v>
      </c>
      <c r="K136">
        <v>3.25</v>
      </c>
    </row>
    <row r="137" spans="1:11" x14ac:dyDescent="0.35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 s="9">
        <v>0</v>
      </c>
      <c r="H137" s="9">
        <v>0</v>
      </c>
      <c r="I137" s="9">
        <v>0</v>
      </c>
      <c r="J137" s="3">
        <f t="shared" si="2"/>
        <v>3</v>
      </c>
      <c r="K137">
        <v>1.25</v>
      </c>
    </row>
    <row r="138" spans="1:11" x14ac:dyDescent="0.35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 s="7">
        <v>0</v>
      </c>
      <c r="H138" s="7">
        <v>0</v>
      </c>
      <c r="I138" s="7">
        <v>0</v>
      </c>
      <c r="J138" s="3">
        <f t="shared" si="2"/>
        <v>3</v>
      </c>
      <c r="K138">
        <v>2</v>
      </c>
    </row>
    <row r="139" spans="1:11" x14ac:dyDescent="0.35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 s="9">
        <v>0</v>
      </c>
      <c r="H139" s="9">
        <v>0</v>
      </c>
      <c r="I139" s="9">
        <v>0</v>
      </c>
      <c r="J139" s="3">
        <f t="shared" si="2"/>
        <v>3</v>
      </c>
      <c r="K139">
        <v>2</v>
      </c>
    </row>
    <row r="140" spans="1:11" x14ac:dyDescent="0.35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 s="7">
        <v>1</v>
      </c>
      <c r="H140" s="7">
        <v>1</v>
      </c>
      <c r="I140" s="7">
        <v>0</v>
      </c>
      <c r="J140" s="3">
        <f t="shared" si="2"/>
        <v>3</v>
      </c>
      <c r="K140">
        <v>2</v>
      </c>
    </row>
    <row r="141" spans="1:11" x14ac:dyDescent="0.35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 s="9">
        <v>0</v>
      </c>
      <c r="H141" s="9">
        <v>0</v>
      </c>
      <c r="I141" s="9">
        <v>0</v>
      </c>
      <c r="J141" s="3">
        <f t="shared" si="2"/>
        <v>3</v>
      </c>
      <c r="K141">
        <v>2.75</v>
      </c>
    </row>
    <row r="142" spans="1:11" x14ac:dyDescent="0.35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 s="7">
        <v>0</v>
      </c>
      <c r="H142" s="7">
        <v>0</v>
      </c>
      <c r="I142" s="7">
        <v>0</v>
      </c>
      <c r="J142" s="3">
        <f t="shared" si="2"/>
        <v>3</v>
      </c>
      <c r="K142">
        <v>3.5</v>
      </c>
    </row>
    <row r="143" spans="1:11" x14ac:dyDescent="0.35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 s="9">
        <v>1</v>
      </c>
      <c r="H143" s="9">
        <v>0</v>
      </c>
      <c r="I143" s="9">
        <v>0</v>
      </c>
      <c r="J143" s="3">
        <f t="shared" si="2"/>
        <v>3</v>
      </c>
      <c r="K143">
        <v>6.7</v>
      </c>
    </row>
    <row r="144" spans="1:11" x14ac:dyDescent="0.35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 s="7">
        <v>1</v>
      </c>
      <c r="H144" s="7">
        <v>0</v>
      </c>
      <c r="I144" s="7">
        <v>0</v>
      </c>
      <c r="J144" s="3">
        <f t="shared" si="2"/>
        <v>3</v>
      </c>
      <c r="K144">
        <v>5</v>
      </c>
    </row>
    <row r="145" spans="1:11" x14ac:dyDescent="0.35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 s="9">
        <v>0</v>
      </c>
      <c r="H145" s="9">
        <v>0</v>
      </c>
      <c r="I145" s="9">
        <v>0</v>
      </c>
      <c r="J145" s="3">
        <f t="shared" si="2"/>
        <v>3</v>
      </c>
      <c r="K145">
        <v>5</v>
      </c>
    </row>
    <row r="146" spans="1:11" x14ac:dyDescent="0.35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 s="7">
        <v>0</v>
      </c>
      <c r="H146" s="7">
        <v>0</v>
      </c>
      <c r="I146" s="7">
        <v>0</v>
      </c>
      <c r="J146" s="3">
        <f t="shared" si="2"/>
        <v>3</v>
      </c>
      <c r="K146">
        <v>2.2999999999999998</v>
      </c>
    </row>
    <row r="147" spans="1:11" x14ac:dyDescent="0.35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 s="9">
        <v>0</v>
      </c>
      <c r="H147" s="9">
        <v>0</v>
      </c>
      <c r="I147" s="9">
        <v>0</v>
      </c>
      <c r="J147" s="3">
        <f t="shared" si="2"/>
        <v>3</v>
      </c>
      <c r="K147">
        <v>1.5</v>
      </c>
    </row>
    <row r="148" spans="1:11" x14ac:dyDescent="0.35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 s="7">
        <v>0</v>
      </c>
      <c r="H148" s="7">
        <v>0</v>
      </c>
      <c r="I148" s="7">
        <v>0</v>
      </c>
      <c r="J148" s="3">
        <f t="shared" si="2"/>
        <v>3</v>
      </c>
      <c r="K148">
        <v>1.36</v>
      </c>
    </row>
    <row r="149" spans="1:11" x14ac:dyDescent="0.35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 s="9">
        <v>0</v>
      </c>
      <c r="H149" s="9">
        <v>0</v>
      </c>
      <c r="I149" s="9">
        <v>0</v>
      </c>
      <c r="J149" s="3">
        <f t="shared" si="2"/>
        <v>3</v>
      </c>
      <c r="K149">
        <v>1.63</v>
      </c>
    </row>
    <row r="150" spans="1:11" x14ac:dyDescent="0.35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 s="7">
        <v>1</v>
      </c>
      <c r="H150" s="7">
        <v>0</v>
      </c>
      <c r="I150" s="7">
        <v>0</v>
      </c>
      <c r="J150" s="3">
        <f t="shared" si="2"/>
        <v>3</v>
      </c>
      <c r="K150">
        <v>1.73</v>
      </c>
    </row>
    <row r="151" spans="1:11" x14ac:dyDescent="0.35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 s="9">
        <v>1</v>
      </c>
      <c r="H151" s="9">
        <v>0</v>
      </c>
      <c r="I151" s="9">
        <v>0</v>
      </c>
      <c r="J151" s="3">
        <f t="shared" si="2"/>
        <v>3</v>
      </c>
      <c r="K151">
        <v>2</v>
      </c>
    </row>
    <row r="152" spans="1:11" x14ac:dyDescent="0.35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 s="7">
        <v>1</v>
      </c>
      <c r="H152" s="7">
        <v>0</v>
      </c>
      <c r="I152" s="7">
        <v>1</v>
      </c>
      <c r="J152" s="3">
        <f t="shared" si="2"/>
        <v>1</v>
      </c>
      <c r="K152">
        <v>2.5</v>
      </c>
    </row>
    <row r="153" spans="1:11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 s="9">
        <v>1</v>
      </c>
      <c r="H153" s="9">
        <v>0</v>
      </c>
      <c r="I153" s="9">
        <v>1</v>
      </c>
      <c r="J153" s="3">
        <f t="shared" si="2"/>
        <v>1</v>
      </c>
      <c r="K153">
        <v>2</v>
      </c>
    </row>
    <row r="154" spans="1:11" x14ac:dyDescent="0.35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 s="7">
        <v>1</v>
      </c>
      <c r="H154" s="7">
        <v>0</v>
      </c>
      <c r="I154" s="7">
        <v>1</v>
      </c>
      <c r="J154" s="3">
        <f t="shared" si="2"/>
        <v>1</v>
      </c>
      <c r="K154">
        <v>2.74</v>
      </c>
    </row>
    <row r="155" spans="1:11" x14ac:dyDescent="0.35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 s="9">
        <v>1</v>
      </c>
      <c r="H155" s="9">
        <v>0</v>
      </c>
      <c r="I155" s="9">
        <v>1</v>
      </c>
      <c r="J155" s="3">
        <f t="shared" si="2"/>
        <v>1</v>
      </c>
      <c r="K155">
        <v>2</v>
      </c>
    </row>
    <row r="156" spans="1:11" x14ac:dyDescent="0.35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 s="7">
        <v>1</v>
      </c>
      <c r="H156" s="7">
        <v>0</v>
      </c>
      <c r="I156" s="7">
        <v>1</v>
      </c>
      <c r="J156" s="3">
        <f t="shared" si="2"/>
        <v>1</v>
      </c>
      <c r="K156">
        <v>2</v>
      </c>
    </row>
    <row r="157" spans="1:11" x14ac:dyDescent="0.35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 s="9">
        <v>0</v>
      </c>
      <c r="H157" s="9">
        <v>0</v>
      </c>
      <c r="I157" s="9">
        <v>1</v>
      </c>
      <c r="J157" s="3">
        <f t="shared" si="2"/>
        <v>1</v>
      </c>
      <c r="K157">
        <v>5.14</v>
      </c>
    </row>
    <row r="158" spans="1:11" x14ac:dyDescent="0.35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 s="7">
        <v>1</v>
      </c>
      <c r="H158" s="7">
        <v>0</v>
      </c>
      <c r="I158" s="7">
        <v>1</v>
      </c>
      <c r="J158" s="3">
        <f t="shared" si="2"/>
        <v>1</v>
      </c>
      <c r="K158">
        <v>5</v>
      </c>
    </row>
    <row r="159" spans="1:11" x14ac:dyDescent="0.35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 s="9">
        <v>0</v>
      </c>
      <c r="H159" s="9">
        <v>0</v>
      </c>
      <c r="I159" s="9">
        <v>1</v>
      </c>
      <c r="J159" s="3">
        <f t="shared" si="2"/>
        <v>1</v>
      </c>
      <c r="K159">
        <v>3.75</v>
      </c>
    </row>
    <row r="160" spans="1:11" x14ac:dyDescent="0.35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 s="7">
        <v>0</v>
      </c>
      <c r="H160" s="7">
        <v>0</v>
      </c>
      <c r="I160" s="7">
        <v>1</v>
      </c>
      <c r="J160" s="3">
        <f t="shared" si="2"/>
        <v>1</v>
      </c>
      <c r="K160">
        <v>2.61</v>
      </c>
    </row>
    <row r="161" spans="1:11" x14ac:dyDescent="0.35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 s="9">
        <v>1</v>
      </c>
      <c r="H161" s="9">
        <v>0</v>
      </c>
      <c r="I161" s="9">
        <v>1</v>
      </c>
      <c r="J161" s="3">
        <f t="shared" si="2"/>
        <v>1</v>
      </c>
      <c r="K161">
        <v>2</v>
      </c>
    </row>
    <row r="162" spans="1:11" x14ac:dyDescent="0.35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 s="7">
        <v>1</v>
      </c>
      <c r="H162" s="7">
        <v>0</v>
      </c>
      <c r="I162" s="7">
        <v>1</v>
      </c>
      <c r="J162" s="3">
        <f t="shared" si="2"/>
        <v>1</v>
      </c>
      <c r="K162">
        <v>3.5</v>
      </c>
    </row>
    <row r="163" spans="1:11" x14ac:dyDescent="0.35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 s="9">
        <v>1</v>
      </c>
      <c r="H163" s="9">
        <v>0</v>
      </c>
      <c r="I163" s="9">
        <v>1</v>
      </c>
      <c r="J163" s="3">
        <f t="shared" si="2"/>
        <v>1</v>
      </c>
      <c r="K163">
        <v>2.5</v>
      </c>
    </row>
    <row r="164" spans="1:11" x14ac:dyDescent="0.35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 s="7">
        <v>0</v>
      </c>
      <c r="H164" s="7">
        <v>0</v>
      </c>
      <c r="I164" s="7">
        <v>1</v>
      </c>
      <c r="J164" s="3">
        <f t="shared" si="2"/>
        <v>1</v>
      </c>
      <c r="K164">
        <v>2</v>
      </c>
    </row>
    <row r="165" spans="1:11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 s="9">
        <v>1</v>
      </c>
      <c r="H165" s="9">
        <v>0</v>
      </c>
      <c r="I165" s="9">
        <v>1</v>
      </c>
      <c r="J165" s="3">
        <f t="shared" si="2"/>
        <v>1</v>
      </c>
      <c r="K165">
        <v>2</v>
      </c>
    </row>
    <row r="166" spans="1:11" x14ac:dyDescent="0.35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 s="7">
        <v>0</v>
      </c>
      <c r="H166" s="7">
        <v>1</v>
      </c>
      <c r="I166" s="7">
        <v>1</v>
      </c>
      <c r="J166" s="3">
        <f t="shared" si="2"/>
        <v>1</v>
      </c>
      <c r="K166">
        <v>3</v>
      </c>
    </row>
    <row r="167" spans="1:11" x14ac:dyDescent="0.35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 s="9">
        <v>1</v>
      </c>
      <c r="H167" s="9">
        <v>0</v>
      </c>
      <c r="I167" s="9">
        <v>1</v>
      </c>
      <c r="J167" s="3">
        <f t="shared" si="2"/>
        <v>1</v>
      </c>
      <c r="K167">
        <v>3.48</v>
      </c>
    </row>
    <row r="168" spans="1:11" x14ac:dyDescent="0.35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 s="7">
        <v>1</v>
      </c>
      <c r="H168" s="7">
        <v>0</v>
      </c>
      <c r="I168" s="7">
        <v>1</v>
      </c>
      <c r="J168" s="3">
        <f t="shared" si="2"/>
        <v>1</v>
      </c>
      <c r="K168">
        <v>2.2400000000000002</v>
      </c>
    </row>
    <row r="169" spans="1:11" x14ac:dyDescent="0.35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 s="9">
        <v>1</v>
      </c>
      <c r="H169" s="9">
        <v>0</v>
      </c>
      <c r="I169" s="9">
        <v>1</v>
      </c>
      <c r="J169" s="3">
        <f t="shared" si="2"/>
        <v>1</v>
      </c>
      <c r="K169">
        <v>4.5</v>
      </c>
    </row>
    <row r="170" spans="1:11" x14ac:dyDescent="0.35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 s="7">
        <v>0</v>
      </c>
      <c r="H170" s="7">
        <v>1</v>
      </c>
      <c r="I170" s="7">
        <v>1</v>
      </c>
      <c r="J170" s="3">
        <f t="shared" si="2"/>
        <v>2</v>
      </c>
      <c r="K170">
        <v>1.61</v>
      </c>
    </row>
    <row r="171" spans="1:11" x14ac:dyDescent="0.35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 s="9">
        <v>0</v>
      </c>
      <c r="H171" s="9">
        <v>1</v>
      </c>
      <c r="I171" s="9">
        <v>1</v>
      </c>
      <c r="J171" s="3">
        <f t="shared" si="2"/>
        <v>2</v>
      </c>
      <c r="K171">
        <v>2</v>
      </c>
    </row>
    <row r="172" spans="1:11" x14ac:dyDescent="0.35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 s="7">
        <v>1</v>
      </c>
      <c r="H172" s="7">
        <v>1</v>
      </c>
      <c r="I172" s="7">
        <v>1</v>
      </c>
      <c r="J172" s="3">
        <f t="shared" si="2"/>
        <v>2</v>
      </c>
      <c r="K172">
        <v>10</v>
      </c>
    </row>
    <row r="173" spans="1:11" x14ac:dyDescent="0.35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 s="9">
        <v>1</v>
      </c>
      <c r="H173" s="9">
        <v>1</v>
      </c>
      <c r="I173" s="9">
        <v>1</v>
      </c>
      <c r="J173" s="3">
        <f t="shared" si="2"/>
        <v>2</v>
      </c>
      <c r="K173">
        <v>3.16</v>
      </c>
    </row>
    <row r="174" spans="1:11" x14ac:dyDescent="0.35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 s="7">
        <v>1</v>
      </c>
      <c r="H174" s="7">
        <v>1</v>
      </c>
      <c r="I174" s="7">
        <v>1</v>
      </c>
      <c r="J174" s="3">
        <f t="shared" si="2"/>
        <v>1</v>
      </c>
      <c r="K174">
        <v>5.15</v>
      </c>
    </row>
    <row r="175" spans="1:11" x14ac:dyDescent="0.35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 s="9">
        <v>1</v>
      </c>
      <c r="H175" s="9">
        <v>1</v>
      </c>
      <c r="I175" s="9">
        <v>1</v>
      </c>
      <c r="J175" s="3">
        <f t="shared" si="2"/>
        <v>1</v>
      </c>
      <c r="K175">
        <v>3.18</v>
      </c>
    </row>
    <row r="176" spans="1:11" x14ac:dyDescent="0.35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 s="7">
        <v>1</v>
      </c>
      <c r="H176" s="7">
        <v>1</v>
      </c>
      <c r="I176" s="7">
        <v>1</v>
      </c>
      <c r="J176" s="3">
        <f t="shared" si="2"/>
        <v>1</v>
      </c>
      <c r="K176">
        <v>4</v>
      </c>
    </row>
    <row r="177" spans="1:11" x14ac:dyDescent="0.35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 s="9">
        <v>1</v>
      </c>
      <c r="H177" s="9">
        <v>1</v>
      </c>
      <c r="I177" s="9">
        <v>1</v>
      </c>
      <c r="J177" s="3">
        <f t="shared" si="2"/>
        <v>1</v>
      </c>
      <c r="K177">
        <v>3.11</v>
      </c>
    </row>
    <row r="178" spans="1:11" x14ac:dyDescent="0.35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 s="7">
        <v>1</v>
      </c>
      <c r="H178" s="7">
        <v>1</v>
      </c>
      <c r="I178" s="7">
        <v>1</v>
      </c>
      <c r="J178" s="3">
        <f t="shared" si="2"/>
        <v>1</v>
      </c>
      <c r="K178">
        <v>2</v>
      </c>
    </row>
    <row r="179" spans="1:11" x14ac:dyDescent="0.35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 s="9">
        <v>1</v>
      </c>
      <c r="H179" s="9">
        <v>1</v>
      </c>
      <c r="I179" s="9">
        <v>1</v>
      </c>
      <c r="J179" s="3">
        <f t="shared" si="2"/>
        <v>1</v>
      </c>
      <c r="K179">
        <v>2</v>
      </c>
    </row>
    <row r="180" spans="1:11" x14ac:dyDescent="0.35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 s="7">
        <v>0</v>
      </c>
      <c r="H180" s="7">
        <v>1</v>
      </c>
      <c r="I180" s="7">
        <v>1</v>
      </c>
      <c r="J180" s="3">
        <f t="shared" si="2"/>
        <v>1</v>
      </c>
      <c r="K180">
        <v>4</v>
      </c>
    </row>
    <row r="181" spans="1:11" x14ac:dyDescent="0.35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 s="9">
        <v>1</v>
      </c>
      <c r="H181" s="9">
        <v>1</v>
      </c>
      <c r="I181" s="9">
        <v>1</v>
      </c>
      <c r="J181" s="3">
        <f t="shared" si="2"/>
        <v>1</v>
      </c>
      <c r="K181">
        <v>3.55</v>
      </c>
    </row>
    <row r="182" spans="1:11" x14ac:dyDescent="0.35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 s="7">
        <v>1</v>
      </c>
      <c r="H182" s="7">
        <v>1</v>
      </c>
      <c r="I182" s="7">
        <v>1</v>
      </c>
      <c r="J182" s="3">
        <f t="shared" si="2"/>
        <v>1</v>
      </c>
      <c r="K182">
        <v>3.68</v>
      </c>
    </row>
    <row r="183" spans="1:11" x14ac:dyDescent="0.35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 s="9">
        <v>1</v>
      </c>
      <c r="H183" s="9">
        <v>1</v>
      </c>
      <c r="I183" s="9">
        <v>1</v>
      </c>
      <c r="J183" s="3">
        <f t="shared" si="2"/>
        <v>1</v>
      </c>
      <c r="K183">
        <v>5.65</v>
      </c>
    </row>
    <row r="184" spans="1:11" x14ac:dyDescent="0.35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 s="7">
        <v>1</v>
      </c>
      <c r="H184" s="7">
        <v>1</v>
      </c>
      <c r="I184" s="7">
        <v>1</v>
      </c>
      <c r="J184" s="3">
        <f t="shared" si="2"/>
        <v>1</v>
      </c>
      <c r="K184">
        <v>3.5</v>
      </c>
    </row>
    <row r="185" spans="1:11" x14ac:dyDescent="0.35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 s="9">
        <v>1</v>
      </c>
      <c r="H185" s="9">
        <v>1</v>
      </c>
      <c r="I185" s="9">
        <v>1</v>
      </c>
      <c r="J185" s="3">
        <f t="shared" si="2"/>
        <v>1</v>
      </c>
      <c r="K185">
        <v>6.5</v>
      </c>
    </row>
    <row r="186" spans="1:11" x14ac:dyDescent="0.35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 s="7">
        <v>1</v>
      </c>
      <c r="H186" s="7">
        <v>1</v>
      </c>
      <c r="I186" s="7">
        <v>1</v>
      </c>
      <c r="J186" s="3">
        <f t="shared" si="2"/>
        <v>1</v>
      </c>
      <c r="K186">
        <v>3</v>
      </c>
    </row>
    <row r="187" spans="1:11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 s="9">
        <v>1</v>
      </c>
      <c r="H187" s="9">
        <v>0</v>
      </c>
      <c r="I187" s="9">
        <v>1</v>
      </c>
      <c r="J187" s="3">
        <f t="shared" si="2"/>
        <v>1</v>
      </c>
      <c r="K187">
        <v>5</v>
      </c>
    </row>
    <row r="188" spans="1:11" x14ac:dyDescent="0.35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 s="7">
        <v>0</v>
      </c>
      <c r="H188" s="7">
        <v>1</v>
      </c>
      <c r="I188" s="7">
        <v>1</v>
      </c>
      <c r="J188" s="3">
        <f t="shared" si="2"/>
        <v>1</v>
      </c>
      <c r="K188">
        <v>3.5</v>
      </c>
    </row>
    <row r="189" spans="1:11" x14ac:dyDescent="0.35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 s="9">
        <v>1</v>
      </c>
      <c r="H189" s="9">
        <v>1</v>
      </c>
      <c r="I189" s="9">
        <v>1</v>
      </c>
      <c r="J189" s="3">
        <f t="shared" si="2"/>
        <v>1</v>
      </c>
      <c r="K189">
        <v>2</v>
      </c>
    </row>
    <row r="190" spans="1:11" x14ac:dyDescent="0.35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 s="7">
        <v>0</v>
      </c>
      <c r="H190" s="7">
        <v>1</v>
      </c>
      <c r="I190" s="7">
        <v>1</v>
      </c>
      <c r="J190" s="3">
        <f t="shared" si="2"/>
        <v>1</v>
      </c>
      <c r="K190">
        <v>3.5</v>
      </c>
    </row>
    <row r="191" spans="1:11" x14ac:dyDescent="0.35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 s="9">
        <v>1</v>
      </c>
      <c r="H191" s="9">
        <v>1</v>
      </c>
      <c r="I191" s="9">
        <v>1</v>
      </c>
      <c r="J191" s="3">
        <f t="shared" si="2"/>
        <v>1</v>
      </c>
      <c r="K191">
        <v>4</v>
      </c>
    </row>
    <row r="192" spans="1:11" x14ac:dyDescent="0.35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 s="7">
        <v>1</v>
      </c>
      <c r="H192" s="7">
        <v>1</v>
      </c>
      <c r="I192" s="7">
        <v>1</v>
      </c>
      <c r="J192" s="3">
        <f t="shared" si="2"/>
        <v>1</v>
      </c>
      <c r="K192">
        <v>1.5</v>
      </c>
    </row>
    <row r="193" spans="1:11" x14ac:dyDescent="0.35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 s="9">
        <v>0</v>
      </c>
      <c r="H193" s="9">
        <v>1</v>
      </c>
      <c r="I193" s="9">
        <v>0</v>
      </c>
      <c r="J193" s="3">
        <f t="shared" si="2"/>
        <v>3</v>
      </c>
      <c r="K193">
        <v>4.1900000000000004</v>
      </c>
    </row>
    <row r="194" spans="1:11" x14ac:dyDescent="0.35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 s="7">
        <v>1</v>
      </c>
      <c r="H194" s="7">
        <v>1</v>
      </c>
      <c r="I194" s="7">
        <v>0</v>
      </c>
      <c r="J194" s="3">
        <f t="shared" ref="J194:J244" si="3">IF(C194="Sun",1,IF(C194="sat",2,IF(C194="thur",3,4)))</f>
        <v>3</v>
      </c>
      <c r="K194">
        <v>2.56</v>
      </c>
    </row>
    <row r="195" spans="1:11" x14ac:dyDescent="0.35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 s="9">
        <v>1</v>
      </c>
      <c r="H195" s="9">
        <v>1</v>
      </c>
      <c r="I195" s="9">
        <v>0</v>
      </c>
      <c r="J195" s="3">
        <f t="shared" si="3"/>
        <v>3</v>
      </c>
      <c r="K195">
        <v>2.02</v>
      </c>
    </row>
    <row r="196" spans="1:11" x14ac:dyDescent="0.35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 s="7">
        <v>1</v>
      </c>
      <c r="H196" s="7">
        <v>1</v>
      </c>
      <c r="I196" s="7">
        <v>0</v>
      </c>
      <c r="J196" s="3">
        <f t="shared" si="3"/>
        <v>3</v>
      </c>
      <c r="K196">
        <v>4</v>
      </c>
    </row>
    <row r="197" spans="1:11" x14ac:dyDescent="0.35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 s="9">
        <v>1</v>
      </c>
      <c r="H197" s="9">
        <v>0</v>
      </c>
      <c r="I197" s="9">
        <v>0</v>
      </c>
      <c r="J197" s="3">
        <f t="shared" si="3"/>
        <v>3</v>
      </c>
      <c r="K197">
        <v>1.44</v>
      </c>
    </row>
    <row r="198" spans="1:11" x14ac:dyDescent="0.35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 s="7">
        <v>1</v>
      </c>
      <c r="H198" s="7">
        <v>1</v>
      </c>
      <c r="I198" s="7">
        <v>0</v>
      </c>
      <c r="J198" s="3">
        <f t="shared" si="3"/>
        <v>3</v>
      </c>
      <c r="K198">
        <v>2</v>
      </c>
    </row>
    <row r="199" spans="1:11" x14ac:dyDescent="0.35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 s="9">
        <v>0</v>
      </c>
      <c r="H199" s="9">
        <v>1</v>
      </c>
      <c r="I199" s="9">
        <v>0</v>
      </c>
      <c r="J199" s="3">
        <f t="shared" si="3"/>
        <v>3</v>
      </c>
      <c r="K199">
        <v>5</v>
      </c>
    </row>
    <row r="200" spans="1:11" x14ac:dyDescent="0.35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 s="7">
        <v>0</v>
      </c>
      <c r="H200" s="7">
        <v>1</v>
      </c>
      <c r="I200" s="7">
        <v>0</v>
      </c>
      <c r="J200" s="3">
        <f t="shared" si="3"/>
        <v>3</v>
      </c>
      <c r="K200">
        <v>2</v>
      </c>
    </row>
    <row r="201" spans="1:11" x14ac:dyDescent="0.35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 s="9">
        <v>1</v>
      </c>
      <c r="H201" s="9">
        <v>1</v>
      </c>
      <c r="I201" s="9">
        <v>0</v>
      </c>
      <c r="J201" s="3">
        <f t="shared" si="3"/>
        <v>3</v>
      </c>
      <c r="K201">
        <v>2</v>
      </c>
    </row>
    <row r="202" spans="1:11" x14ac:dyDescent="0.35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 s="7">
        <v>1</v>
      </c>
      <c r="H202" s="7">
        <v>1</v>
      </c>
      <c r="I202" s="7">
        <v>0</v>
      </c>
      <c r="J202" s="3">
        <f t="shared" si="3"/>
        <v>3</v>
      </c>
      <c r="K202">
        <v>4</v>
      </c>
    </row>
    <row r="203" spans="1:11" x14ac:dyDescent="0.35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 s="9">
        <v>0</v>
      </c>
      <c r="H203" s="9">
        <v>1</v>
      </c>
      <c r="I203" s="9">
        <v>0</v>
      </c>
      <c r="J203" s="3">
        <f t="shared" si="3"/>
        <v>3</v>
      </c>
      <c r="K203">
        <v>2.0099999999999998</v>
      </c>
    </row>
    <row r="204" spans="1:11" x14ac:dyDescent="0.35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16.399999999999999</v>
      </c>
      <c r="G204" s="9">
        <v>1</v>
      </c>
      <c r="H204" s="9">
        <v>1</v>
      </c>
      <c r="I204" s="9">
        <v>0</v>
      </c>
      <c r="J204" s="3">
        <f t="shared" si="3"/>
        <v>3</v>
      </c>
      <c r="K204">
        <v>2.5</v>
      </c>
    </row>
    <row r="205" spans="1:11" x14ac:dyDescent="0.35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20.53</v>
      </c>
      <c r="G205" s="7">
        <v>0</v>
      </c>
      <c r="H205" s="7">
        <v>1</v>
      </c>
      <c r="I205" s="7">
        <v>0</v>
      </c>
      <c r="J205" s="3">
        <f t="shared" si="3"/>
        <v>3</v>
      </c>
      <c r="K205">
        <v>4</v>
      </c>
    </row>
    <row r="206" spans="1:11" x14ac:dyDescent="0.35">
      <c r="A206" t="s">
        <v>7</v>
      </c>
      <c r="B206" t="s">
        <v>22</v>
      </c>
      <c r="C206" t="s">
        <v>23</v>
      </c>
      <c r="D206" t="s">
        <v>24</v>
      </c>
      <c r="E206">
        <v>3</v>
      </c>
      <c r="F206">
        <v>16.47</v>
      </c>
      <c r="G206" s="9">
        <v>1</v>
      </c>
      <c r="H206" s="9">
        <v>1</v>
      </c>
      <c r="I206" s="9">
        <v>1</v>
      </c>
      <c r="J206" s="3">
        <f t="shared" si="3"/>
        <v>3</v>
      </c>
      <c r="K206">
        <v>3.23</v>
      </c>
    </row>
    <row r="207" spans="1:11" x14ac:dyDescent="0.35">
      <c r="A207" t="s">
        <v>11</v>
      </c>
      <c r="B207" t="s">
        <v>22</v>
      </c>
      <c r="C207" t="s">
        <v>21</v>
      </c>
      <c r="D207" t="s">
        <v>10</v>
      </c>
      <c r="E207">
        <v>3</v>
      </c>
      <c r="F207">
        <v>26.59</v>
      </c>
      <c r="G207" s="7">
        <v>1</v>
      </c>
      <c r="H207" s="7">
        <v>1</v>
      </c>
      <c r="I207" s="7">
        <v>1</v>
      </c>
      <c r="J207" s="3">
        <f t="shared" si="3"/>
        <v>2</v>
      </c>
      <c r="K207">
        <v>3.41</v>
      </c>
    </row>
    <row r="208" spans="1:11" x14ac:dyDescent="0.35">
      <c r="A208" t="s">
        <v>11</v>
      </c>
      <c r="B208" t="s">
        <v>22</v>
      </c>
      <c r="C208" t="s">
        <v>21</v>
      </c>
      <c r="D208" t="s">
        <v>10</v>
      </c>
      <c r="E208">
        <v>4</v>
      </c>
      <c r="F208">
        <v>38.729999999999997</v>
      </c>
      <c r="G208" s="9">
        <v>1</v>
      </c>
      <c r="H208" s="9">
        <v>1</v>
      </c>
      <c r="I208" s="9">
        <v>1</v>
      </c>
      <c r="J208" s="3">
        <f t="shared" si="3"/>
        <v>2</v>
      </c>
      <c r="K208">
        <v>3</v>
      </c>
    </row>
    <row r="209" spans="1:11" x14ac:dyDescent="0.35">
      <c r="A209" t="s">
        <v>11</v>
      </c>
      <c r="B209" t="s">
        <v>22</v>
      </c>
      <c r="C209" t="s">
        <v>21</v>
      </c>
      <c r="D209" t="s">
        <v>10</v>
      </c>
      <c r="E209">
        <v>2</v>
      </c>
      <c r="F209">
        <v>24.27</v>
      </c>
      <c r="G209" s="7">
        <v>0</v>
      </c>
      <c r="H209" s="7">
        <v>1</v>
      </c>
      <c r="I209" s="7">
        <v>1</v>
      </c>
      <c r="J209" s="3">
        <f t="shared" si="3"/>
        <v>2</v>
      </c>
      <c r="K209">
        <v>2.0299999999999998</v>
      </c>
    </row>
    <row r="210" spans="1:11" x14ac:dyDescent="0.35">
      <c r="A210" t="s">
        <v>7</v>
      </c>
      <c r="B210" t="s">
        <v>22</v>
      </c>
      <c r="C210" t="s">
        <v>21</v>
      </c>
      <c r="D210" t="s">
        <v>10</v>
      </c>
      <c r="E210">
        <v>2</v>
      </c>
      <c r="F210">
        <v>12.76</v>
      </c>
      <c r="G210" s="9">
        <v>1</v>
      </c>
      <c r="H210" s="9">
        <v>1</v>
      </c>
      <c r="I210" s="9">
        <v>1</v>
      </c>
      <c r="J210" s="3">
        <f t="shared" si="3"/>
        <v>2</v>
      </c>
      <c r="K210">
        <v>2.23</v>
      </c>
    </row>
    <row r="211" spans="1:11" x14ac:dyDescent="0.35">
      <c r="A211" t="s">
        <v>11</v>
      </c>
      <c r="B211" t="s">
        <v>22</v>
      </c>
      <c r="C211" t="s">
        <v>21</v>
      </c>
      <c r="D211" t="s">
        <v>10</v>
      </c>
      <c r="E211">
        <v>3</v>
      </c>
      <c r="F211">
        <v>30.06</v>
      </c>
      <c r="G211" s="7">
        <v>1</v>
      </c>
      <c r="H211" s="7">
        <v>1</v>
      </c>
      <c r="I211" s="7">
        <v>1</v>
      </c>
      <c r="J211" s="3">
        <f t="shared" si="3"/>
        <v>2</v>
      </c>
      <c r="K211">
        <v>2</v>
      </c>
    </row>
    <row r="212" spans="1:11" x14ac:dyDescent="0.35">
      <c r="A212" t="s">
        <v>11</v>
      </c>
      <c r="B212" t="s">
        <v>22</v>
      </c>
      <c r="C212" t="s">
        <v>21</v>
      </c>
      <c r="D212" t="s">
        <v>10</v>
      </c>
      <c r="E212">
        <v>4</v>
      </c>
      <c r="F212">
        <v>25.89</v>
      </c>
      <c r="G212" s="9">
        <v>1</v>
      </c>
      <c r="H212" s="9">
        <v>0</v>
      </c>
      <c r="I212" s="9">
        <v>1</v>
      </c>
      <c r="J212" s="3">
        <f t="shared" si="3"/>
        <v>2</v>
      </c>
      <c r="K212">
        <v>5.16</v>
      </c>
    </row>
    <row r="213" spans="1:11" x14ac:dyDescent="0.35">
      <c r="A213" t="s">
        <v>11</v>
      </c>
      <c r="B213" t="s">
        <v>8</v>
      </c>
      <c r="C213" t="s">
        <v>21</v>
      </c>
      <c r="D213" t="s">
        <v>10</v>
      </c>
      <c r="E213">
        <v>4</v>
      </c>
      <c r="F213">
        <v>48.33</v>
      </c>
      <c r="G213" s="7">
        <v>0</v>
      </c>
      <c r="H213" s="7">
        <v>1</v>
      </c>
      <c r="I213" s="7">
        <v>1</v>
      </c>
      <c r="J213" s="3">
        <f t="shared" si="3"/>
        <v>2</v>
      </c>
      <c r="K213">
        <v>9</v>
      </c>
    </row>
    <row r="214" spans="1:11" x14ac:dyDescent="0.35">
      <c r="A214" t="s">
        <v>7</v>
      </c>
      <c r="B214" t="s">
        <v>22</v>
      </c>
      <c r="C214" t="s">
        <v>21</v>
      </c>
      <c r="D214" t="s">
        <v>10</v>
      </c>
      <c r="E214">
        <v>2</v>
      </c>
      <c r="F214">
        <v>13.27</v>
      </c>
      <c r="G214" s="9">
        <v>0</v>
      </c>
      <c r="H214" s="9">
        <v>1</v>
      </c>
      <c r="I214" s="9">
        <v>1</v>
      </c>
      <c r="J214" s="3">
        <f t="shared" si="3"/>
        <v>2</v>
      </c>
      <c r="K214">
        <v>2.5</v>
      </c>
    </row>
    <row r="215" spans="1:11" x14ac:dyDescent="0.35">
      <c r="A215" t="s">
        <v>7</v>
      </c>
      <c r="B215" t="s">
        <v>22</v>
      </c>
      <c r="C215" t="s">
        <v>21</v>
      </c>
      <c r="D215" t="s">
        <v>10</v>
      </c>
      <c r="E215">
        <v>3</v>
      </c>
      <c r="F215">
        <v>28.17</v>
      </c>
      <c r="G215" s="7">
        <v>0</v>
      </c>
      <c r="H215" s="7">
        <v>1</v>
      </c>
      <c r="I215" s="7">
        <v>1</v>
      </c>
      <c r="J215" s="3">
        <f t="shared" si="3"/>
        <v>2</v>
      </c>
      <c r="K215">
        <v>6.5</v>
      </c>
    </row>
    <row r="216" spans="1:11" x14ac:dyDescent="0.35">
      <c r="A216" t="s">
        <v>7</v>
      </c>
      <c r="B216" t="s">
        <v>22</v>
      </c>
      <c r="C216" t="s">
        <v>21</v>
      </c>
      <c r="D216" t="s">
        <v>10</v>
      </c>
      <c r="E216">
        <v>2</v>
      </c>
      <c r="F216">
        <v>12.9</v>
      </c>
      <c r="G216" s="9">
        <v>1</v>
      </c>
      <c r="H216" s="9">
        <v>1</v>
      </c>
      <c r="I216" s="9">
        <v>1</v>
      </c>
      <c r="J216" s="3">
        <f t="shared" si="3"/>
        <v>2</v>
      </c>
      <c r="K216">
        <v>1.1000000000000001</v>
      </c>
    </row>
    <row r="217" spans="1:11" x14ac:dyDescent="0.35">
      <c r="A217" t="s">
        <v>11</v>
      </c>
      <c r="B217" t="s">
        <v>22</v>
      </c>
      <c r="C217" t="s">
        <v>21</v>
      </c>
      <c r="D217" t="s">
        <v>10</v>
      </c>
      <c r="E217">
        <v>5</v>
      </c>
      <c r="F217">
        <v>28.15</v>
      </c>
      <c r="G217" s="7">
        <v>1</v>
      </c>
      <c r="H217" s="7">
        <v>1</v>
      </c>
      <c r="I217" s="7">
        <v>1</v>
      </c>
      <c r="J217" s="3">
        <f t="shared" si="3"/>
        <v>2</v>
      </c>
      <c r="K217">
        <v>3</v>
      </c>
    </row>
    <row r="218" spans="1:11" x14ac:dyDescent="0.35">
      <c r="A218" t="s">
        <v>11</v>
      </c>
      <c r="B218" t="s">
        <v>22</v>
      </c>
      <c r="C218" t="s">
        <v>21</v>
      </c>
      <c r="D218" t="s">
        <v>10</v>
      </c>
      <c r="E218">
        <v>2</v>
      </c>
      <c r="F218">
        <v>11.59</v>
      </c>
      <c r="G218" s="9">
        <v>1</v>
      </c>
      <c r="H218" s="9">
        <v>1</v>
      </c>
      <c r="I218" s="9">
        <v>1</v>
      </c>
      <c r="J218" s="3">
        <f t="shared" si="3"/>
        <v>2</v>
      </c>
      <c r="K218">
        <v>1.5</v>
      </c>
    </row>
    <row r="219" spans="1:11" x14ac:dyDescent="0.35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7.74</v>
      </c>
      <c r="G219" s="7">
        <v>0</v>
      </c>
      <c r="H219" s="7">
        <v>1</v>
      </c>
      <c r="I219" s="7">
        <v>1</v>
      </c>
      <c r="J219" s="3">
        <f t="shared" si="3"/>
        <v>2</v>
      </c>
      <c r="K219">
        <v>1.44</v>
      </c>
    </row>
    <row r="220" spans="1:11" x14ac:dyDescent="0.35">
      <c r="A220" t="s">
        <v>7</v>
      </c>
      <c r="B220" t="s">
        <v>22</v>
      </c>
      <c r="C220" t="s">
        <v>21</v>
      </c>
      <c r="D220" t="s">
        <v>10</v>
      </c>
      <c r="E220">
        <v>4</v>
      </c>
      <c r="F220">
        <v>30.14</v>
      </c>
      <c r="G220" s="9">
        <v>1</v>
      </c>
      <c r="H220" s="9">
        <v>1</v>
      </c>
      <c r="I220" s="9">
        <v>0</v>
      </c>
      <c r="J220" s="3">
        <f t="shared" si="3"/>
        <v>2</v>
      </c>
      <c r="K220">
        <v>3.09</v>
      </c>
    </row>
    <row r="221" spans="1:11" x14ac:dyDescent="0.35">
      <c r="A221" t="s">
        <v>11</v>
      </c>
      <c r="B221" t="s">
        <v>22</v>
      </c>
      <c r="C221" t="s">
        <v>25</v>
      </c>
      <c r="D221" t="s">
        <v>24</v>
      </c>
      <c r="E221">
        <v>2</v>
      </c>
      <c r="F221">
        <v>12.16</v>
      </c>
      <c r="G221" s="7">
        <v>0</v>
      </c>
      <c r="H221" s="7">
        <v>1</v>
      </c>
      <c r="I221" s="7">
        <v>0</v>
      </c>
      <c r="J221" s="3">
        <f t="shared" si="3"/>
        <v>4</v>
      </c>
      <c r="K221">
        <v>2.2000000000000002</v>
      </c>
    </row>
    <row r="222" spans="1:11" x14ac:dyDescent="0.35">
      <c r="A222" t="s">
        <v>7</v>
      </c>
      <c r="B222" t="s">
        <v>22</v>
      </c>
      <c r="C222" t="s">
        <v>25</v>
      </c>
      <c r="D222" t="s">
        <v>24</v>
      </c>
      <c r="E222">
        <v>2</v>
      </c>
      <c r="F222">
        <v>13.42</v>
      </c>
      <c r="G222" s="9">
        <v>1</v>
      </c>
      <c r="H222" s="9">
        <v>1</v>
      </c>
      <c r="I222" s="9">
        <v>0</v>
      </c>
      <c r="J222" s="3">
        <f t="shared" si="3"/>
        <v>4</v>
      </c>
      <c r="K222">
        <v>3.48</v>
      </c>
    </row>
    <row r="223" spans="1:11" x14ac:dyDescent="0.35">
      <c r="A223" t="s">
        <v>11</v>
      </c>
      <c r="B223" t="s">
        <v>22</v>
      </c>
      <c r="C223" t="s">
        <v>25</v>
      </c>
      <c r="D223" t="s">
        <v>24</v>
      </c>
      <c r="E223">
        <v>1</v>
      </c>
      <c r="F223">
        <v>8.58</v>
      </c>
      <c r="G223" s="7">
        <v>0</v>
      </c>
      <c r="H223" s="7">
        <v>0</v>
      </c>
      <c r="I223" s="7">
        <v>0</v>
      </c>
      <c r="J223" s="3">
        <f t="shared" si="3"/>
        <v>4</v>
      </c>
      <c r="K223">
        <v>1.92</v>
      </c>
    </row>
    <row r="224" spans="1:11" x14ac:dyDescent="0.35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15.98</v>
      </c>
      <c r="G224" s="9">
        <v>1</v>
      </c>
      <c r="H224" s="9">
        <v>1</v>
      </c>
      <c r="I224" s="9">
        <v>0</v>
      </c>
      <c r="J224" s="3">
        <f t="shared" si="3"/>
        <v>4</v>
      </c>
      <c r="K224">
        <v>3</v>
      </c>
    </row>
    <row r="225" spans="1:11" x14ac:dyDescent="0.35">
      <c r="A225" t="s">
        <v>11</v>
      </c>
      <c r="B225" t="s">
        <v>22</v>
      </c>
      <c r="C225" t="s">
        <v>25</v>
      </c>
      <c r="D225" t="s">
        <v>24</v>
      </c>
      <c r="E225">
        <v>2</v>
      </c>
      <c r="F225">
        <v>13.42</v>
      </c>
      <c r="G225" s="7">
        <v>0</v>
      </c>
      <c r="H225" s="7">
        <v>1</v>
      </c>
      <c r="I225" s="7">
        <v>0</v>
      </c>
      <c r="J225" s="3">
        <f t="shared" si="3"/>
        <v>4</v>
      </c>
      <c r="K225">
        <v>1.58</v>
      </c>
    </row>
    <row r="226" spans="1:11" x14ac:dyDescent="0.35">
      <c r="A226" t="s">
        <v>7</v>
      </c>
      <c r="B226" t="s">
        <v>22</v>
      </c>
      <c r="C226" t="s">
        <v>25</v>
      </c>
      <c r="D226" t="s">
        <v>24</v>
      </c>
      <c r="E226">
        <v>2</v>
      </c>
      <c r="F226">
        <v>16.27</v>
      </c>
      <c r="G226" s="9">
        <v>0</v>
      </c>
      <c r="H226" s="9">
        <v>1</v>
      </c>
      <c r="I226" s="9">
        <v>0</v>
      </c>
      <c r="J226" s="3">
        <f t="shared" si="3"/>
        <v>4</v>
      </c>
      <c r="K226">
        <v>2.5</v>
      </c>
    </row>
    <row r="227" spans="1:11" x14ac:dyDescent="0.35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10.09</v>
      </c>
      <c r="G227" s="7">
        <v>1</v>
      </c>
      <c r="H227" s="7">
        <v>0</v>
      </c>
      <c r="I227" s="7">
        <v>1</v>
      </c>
      <c r="J227" s="3">
        <f t="shared" si="3"/>
        <v>4</v>
      </c>
      <c r="K227">
        <v>2</v>
      </c>
    </row>
    <row r="228" spans="1:11" x14ac:dyDescent="0.35">
      <c r="A228" t="s">
        <v>11</v>
      </c>
      <c r="B228" t="s">
        <v>8</v>
      </c>
      <c r="C228" t="s">
        <v>21</v>
      </c>
      <c r="D228" t="s">
        <v>10</v>
      </c>
      <c r="E228">
        <v>4</v>
      </c>
      <c r="F228">
        <v>20.45</v>
      </c>
      <c r="G228" s="9">
        <v>1</v>
      </c>
      <c r="H228" s="9">
        <v>0</v>
      </c>
      <c r="I228" s="9">
        <v>1</v>
      </c>
      <c r="J228" s="3">
        <f t="shared" si="3"/>
        <v>2</v>
      </c>
      <c r="K228">
        <v>3</v>
      </c>
    </row>
    <row r="229" spans="1:11" x14ac:dyDescent="0.35">
      <c r="A229" t="s">
        <v>11</v>
      </c>
      <c r="B229" t="s">
        <v>8</v>
      </c>
      <c r="C229" t="s">
        <v>21</v>
      </c>
      <c r="D229" t="s">
        <v>10</v>
      </c>
      <c r="E229">
        <v>2</v>
      </c>
      <c r="F229">
        <v>13.28</v>
      </c>
      <c r="G229" s="7">
        <v>0</v>
      </c>
      <c r="H229" s="7">
        <v>1</v>
      </c>
      <c r="I229" s="7">
        <v>1</v>
      </c>
      <c r="J229" s="3">
        <f t="shared" si="3"/>
        <v>2</v>
      </c>
      <c r="K229">
        <v>2.72</v>
      </c>
    </row>
    <row r="230" spans="1:11" x14ac:dyDescent="0.35">
      <c r="A230" t="s">
        <v>7</v>
      </c>
      <c r="B230" t="s">
        <v>22</v>
      </c>
      <c r="C230" t="s">
        <v>21</v>
      </c>
      <c r="D230" t="s">
        <v>10</v>
      </c>
      <c r="E230">
        <v>2</v>
      </c>
      <c r="F230">
        <v>22.12</v>
      </c>
      <c r="G230" s="9">
        <v>1</v>
      </c>
      <c r="H230" s="9">
        <v>1</v>
      </c>
      <c r="I230" s="9">
        <v>1</v>
      </c>
      <c r="J230" s="3">
        <f t="shared" si="3"/>
        <v>2</v>
      </c>
      <c r="K230">
        <v>2.88</v>
      </c>
    </row>
    <row r="231" spans="1:11" x14ac:dyDescent="0.35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24.01</v>
      </c>
      <c r="G231" s="7">
        <v>1</v>
      </c>
      <c r="H231" s="7">
        <v>1</v>
      </c>
      <c r="I231" s="7">
        <v>1</v>
      </c>
      <c r="J231" s="3">
        <f t="shared" si="3"/>
        <v>2</v>
      </c>
      <c r="K231">
        <v>2</v>
      </c>
    </row>
    <row r="232" spans="1:11" x14ac:dyDescent="0.35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15.69</v>
      </c>
      <c r="G232" s="9">
        <v>1</v>
      </c>
      <c r="H232" s="9">
        <v>0</v>
      </c>
      <c r="I232" s="9">
        <v>1</v>
      </c>
      <c r="J232" s="3">
        <f t="shared" si="3"/>
        <v>2</v>
      </c>
      <c r="K232">
        <v>3</v>
      </c>
    </row>
    <row r="233" spans="1:11" x14ac:dyDescent="0.35">
      <c r="A233" t="s">
        <v>11</v>
      </c>
      <c r="B233" t="s">
        <v>8</v>
      </c>
      <c r="C233" t="s">
        <v>21</v>
      </c>
      <c r="D233" t="s">
        <v>10</v>
      </c>
      <c r="E233">
        <v>2</v>
      </c>
      <c r="F233">
        <v>11.61</v>
      </c>
      <c r="G233" s="7">
        <v>1</v>
      </c>
      <c r="H233" s="7">
        <v>0</v>
      </c>
      <c r="I233" s="7">
        <v>1</v>
      </c>
      <c r="J233" s="3">
        <f t="shared" si="3"/>
        <v>2</v>
      </c>
      <c r="K233">
        <v>3.39</v>
      </c>
    </row>
    <row r="234" spans="1:11" x14ac:dyDescent="0.35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10.77</v>
      </c>
      <c r="G234" s="9">
        <v>1</v>
      </c>
      <c r="H234" s="9">
        <v>1</v>
      </c>
      <c r="I234" s="9">
        <v>1</v>
      </c>
      <c r="J234" s="3">
        <f t="shared" si="3"/>
        <v>2</v>
      </c>
      <c r="K234">
        <v>1.47</v>
      </c>
    </row>
    <row r="235" spans="1:11" x14ac:dyDescent="0.35">
      <c r="A235" t="s">
        <v>11</v>
      </c>
      <c r="B235" t="s">
        <v>22</v>
      </c>
      <c r="C235" t="s">
        <v>21</v>
      </c>
      <c r="D235" t="s">
        <v>10</v>
      </c>
      <c r="E235">
        <v>2</v>
      </c>
      <c r="F235">
        <v>15.53</v>
      </c>
      <c r="G235" s="7">
        <v>1</v>
      </c>
      <c r="H235" s="7">
        <v>0</v>
      </c>
      <c r="I235" s="7">
        <v>1</v>
      </c>
      <c r="J235" s="3">
        <f t="shared" si="3"/>
        <v>2</v>
      </c>
      <c r="K235">
        <v>3</v>
      </c>
    </row>
    <row r="236" spans="1:11" x14ac:dyDescent="0.35">
      <c r="A236" t="s">
        <v>11</v>
      </c>
      <c r="B236" t="s">
        <v>8</v>
      </c>
      <c r="C236" t="s">
        <v>21</v>
      </c>
      <c r="D236" t="s">
        <v>10</v>
      </c>
      <c r="E236">
        <v>2</v>
      </c>
      <c r="F236">
        <v>10.07</v>
      </c>
      <c r="G236" s="9">
        <v>1</v>
      </c>
      <c r="H236" s="9">
        <v>1</v>
      </c>
      <c r="I236" s="9">
        <v>1</v>
      </c>
      <c r="J236" s="3">
        <f t="shared" si="3"/>
        <v>2</v>
      </c>
      <c r="K236">
        <v>1.25</v>
      </c>
    </row>
    <row r="237" spans="1:11" x14ac:dyDescent="0.35">
      <c r="A237" t="s">
        <v>11</v>
      </c>
      <c r="B237" t="s">
        <v>22</v>
      </c>
      <c r="C237" t="s">
        <v>21</v>
      </c>
      <c r="D237" t="s">
        <v>10</v>
      </c>
      <c r="E237">
        <v>2</v>
      </c>
      <c r="F237">
        <v>12.6</v>
      </c>
      <c r="G237" s="7">
        <v>1</v>
      </c>
      <c r="H237" s="7">
        <v>1</v>
      </c>
      <c r="I237" s="7">
        <v>1</v>
      </c>
      <c r="J237" s="3">
        <f t="shared" si="3"/>
        <v>2</v>
      </c>
      <c r="K237">
        <v>1</v>
      </c>
    </row>
    <row r="238" spans="1:11" x14ac:dyDescent="0.35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32.83</v>
      </c>
      <c r="G238" s="9">
        <v>0</v>
      </c>
      <c r="H238" s="9">
        <v>0</v>
      </c>
      <c r="I238" s="9">
        <v>1</v>
      </c>
      <c r="J238" s="3">
        <f t="shared" si="3"/>
        <v>2</v>
      </c>
      <c r="K238">
        <v>1.17</v>
      </c>
    </row>
    <row r="239" spans="1:11" x14ac:dyDescent="0.35">
      <c r="A239" t="s">
        <v>7</v>
      </c>
      <c r="B239" t="s">
        <v>8</v>
      </c>
      <c r="C239" t="s">
        <v>21</v>
      </c>
      <c r="D239" t="s">
        <v>10</v>
      </c>
      <c r="E239">
        <v>3</v>
      </c>
      <c r="F239">
        <v>35.83</v>
      </c>
      <c r="G239" s="7">
        <v>1</v>
      </c>
      <c r="H239" s="7">
        <v>0</v>
      </c>
      <c r="I239" s="7">
        <v>1</v>
      </c>
      <c r="J239" s="3">
        <f t="shared" si="3"/>
        <v>2</v>
      </c>
      <c r="K239">
        <v>4.67</v>
      </c>
    </row>
    <row r="240" spans="1:11" x14ac:dyDescent="0.35">
      <c r="A240" t="s">
        <v>11</v>
      </c>
      <c r="B240" t="s">
        <v>8</v>
      </c>
      <c r="C240" t="s">
        <v>21</v>
      </c>
      <c r="D240" t="s">
        <v>10</v>
      </c>
      <c r="E240">
        <v>3</v>
      </c>
      <c r="F240">
        <v>29.03</v>
      </c>
      <c r="G240" s="9">
        <v>0</v>
      </c>
      <c r="H240" s="9">
        <v>1</v>
      </c>
      <c r="I240" s="9">
        <v>1</v>
      </c>
      <c r="J240" s="3">
        <f t="shared" si="3"/>
        <v>2</v>
      </c>
      <c r="K240">
        <v>5.92</v>
      </c>
    </row>
    <row r="241" spans="1:11" x14ac:dyDescent="0.35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27.18</v>
      </c>
      <c r="G241" s="7">
        <v>1</v>
      </c>
      <c r="H241" s="7">
        <v>1</v>
      </c>
      <c r="I241" s="7">
        <v>1</v>
      </c>
      <c r="J241" s="3">
        <f t="shared" si="3"/>
        <v>2</v>
      </c>
      <c r="K241">
        <v>2</v>
      </c>
    </row>
    <row r="242" spans="1:11" x14ac:dyDescent="0.35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22.67</v>
      </c>
      <c r="G242" s="9">
        <v>1</v>
      </c>
      <c r="H242" s="9">
        <v>0</v>
      </c>
      <c r="I242" s="9">
        <v>1</v>
      </c>
      <c r="J242" s="3">
        <f t="shared" si="3"/>
        <v>2</v>
      </c>
      <c r="K242">
        <v>2</v>
      </c>
    </row>
    <row r="243" spans="1:11" x14ac:dyDescent="0.35">
      <c r="A243" t="s">
        <v>11</v>
      </c>
      <c r="B243" t="s">
        <v>8</v>
      </c>
      <c r="C243" t="s">
        <v>21</v>
      </c>
      <c r="D243" t="s">
        <v>10</v>
      </c>
      <c r="E243">
        <v>2</v>
      </c>
      <c r="F243">
        <v>17.82</v>
      </c>
      <c r="G243" s="7">
        <v>0</v>
      </c>
      <c r="H243" s="7">
        <v>0</v>
      </c>
      <c r="I243" s="7">
        <v>1</v>
      </c>
      <c r="J243" s="3">
        <f t="shared" si="3"/>
        <v>2</v>
      </c>
      <c r="K243">
        <v>1.75</v>
      </c>
    </row>
    <row r="244" spans="1:11" x14ac:dyDescent="0.35">
      <c r="A244" t="s">
        <v>7</v>
      </c>
      <c r="B244" t="s">
        <v>8</v>
      </c>
      <c r="C244" t="s">
        <v>23</v>
      </c>
      <c r="D244" t="s">
        <v>10</v>
      </c>
      <c r="E244">
        <v>2</v>
      </c>
      <c r="F244">
        <v>18.78</v>
      </c>
      <c r="G244" s="8"/>
      <c r="H244" s="8"/>
      <c r="I244" s="8"/>
      <c r="J244">
        <f t="shared" si="3"/>
        <v>3</v>
      </c>
      <c r="K244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correlation</vt:lpstr>
      <vt:lpstr>total bill vs tip</vt:lpstr>
      <vt:lpstr>prediction</vt:lpstr>
      <vt:lpstr>raw data</vt:lpstr>
      <vt:lpstr>output</vt:lpstr>
      <vt:lpstr>encoding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Dell</cp:lastModifiedBy>
  <cp:revision/>
  <cp:lastPrinted>2026-04-21T20:34:15Z</cp:lastPrinted>
  <dcterms:created xsi:type="dcterms:W3CDTF">2021-10-26T16:10:41Z</dcterms:created>
  <dcterms:modified xsi:type="dcterms:W3CDTF">2026-04-29T19:34:42Z</dcterms:modified>
  <cp:category/>
  <cp:contentStatus/>
</cp:coreProperties>
</file>